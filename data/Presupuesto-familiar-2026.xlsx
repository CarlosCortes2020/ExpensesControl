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" sheetId="1" r:id="rId4"/>
    <sheet state="visible" name="TODO EL AÑO" sheetId="2" r:id="rId5"/>
    <sheet state="visible" name="Enero" sheetId="3" r:id="rId6"/>
    <sheet state="visible" name="Febrero" sheetId="4" r:id="rId7"/>
    <sheet state="visible" name="Marzo" sheetId="5" r:id="rId8"/>
    <sheet state="visible" name="Abril" sheetId="6" r:id="rId9"/>
    <sheet state="visible" name="Mayo" sheetId="7" r:id="rId10"/>
    <sheet state="visible" name="Junio" sheetId="8" r:id="rId11"/>
    <sheet state="visible" name="Julio" sheetId="9" r:id="rId12"/>
    <sheet state="visible" name="Agosto" sheetId="10" r:id="rId13"/>
    <sheet state="visible" name="Septiembre" sheetId="11" r:id="rId14"/>
    <sheet state="visible" name="Octubre" sheetId="12" r:id="rId15"/>
    <sheet state="visible" name="Noviembre" sheetId="13" r:id="rId16"/>
    <sheet state="visible" name="Diciembre" sheetId="14" r:id="rId17"/>
  </sheets>
  <definedNames/>
  <calcPr/>
  <extLst>
    <ext uri="GoogleSheetsCustomDataVersion2">
      <go:sheetsCustomData xmlns:go="http://customooxmlschemas.google.com/" r:id="rId18" roundtripDataChecksum="Zuujx7QmFIYcQsLOTJKSjISv0CMkBIjpr4xYUL2ZaQ8="/>
    </ext>
  </extLst>
</workbook>
</file>

<file path=xl/sharedStrings.xml><?xml version="1.0" encoding="utf-8"?>
<sst xmlns="http://schemas.openxmlformats.org/spreadsheetml/2006/main" count="6553" uniqueCount="137">
  <si>
    <t>CATEGORIAS</t>
  </si>
  <si>
    <t xml:space="preserve">Establece nombres de categorías y subcategorías para tus ingresos y gastos. Elimina las que no necesitas, cambia, o añade nuevas. Los cambios que realices aquí, se cambian automaticamente en todos los meses. </t>
  </si>
  <si>
    <t>Lista de categorías</t>
  </si>
  <si>
    <t>Ingresos</t>
  </si>
  <si>
    <t>INGRESOS TOTALES</t>
  </si>
  <si>
    <t>Nomina</t>
  </si>
  <si>
    <t>Aguinaldo</t>
  </si>
  <si>
    <t>Fondo de ahorro</t>
  </si>
  <si>
    <t>Vales despensa</t>
  </si>
  <si>
    <t>Vales comedor</t>
  </si>
  <si>
    <t>-</t>
  </si>
  <si>
    <t>Gastos</t>
  </si>
  <si>
    <t>ALIMENTOS Y BEBIDAS</t>
  </si>
  <si>
    <t>Restaurantes</t>
  </si>
  <si>
    <t>Comida Carlos</t>
  </si>
  <si>
    <t>SALUD</t>
  </si>
  <si>
    <t>Gastos en médicos</t>
  </si>
  <si>
    <t>Medicamentos</t>
  </si>
  <si>
    <t>Dentista Kary</t>
  </si>
  <si>
    <t>Dentista Thiago</t>
  </si>
  <si>
    <t>CASA</t>
  </si>
  <si>
    <t>Reparación</t>
  </si>
  <si>
    <t>Electricidad</t>
  </si>
  <si>
    <t>Gas</t>
  </si>
  <si>
    <t>Casa Claudia</t>
  </si>
  <si>
    <t>Muebles/electrodomésticos</t>
  </si>
  <si>
    <t>Predial</t>
  </si>
  <si>
    <t>Renta Cuarto</t>
  </si>
  <si>
    <t>ROPA Y CALZADO</t>
  </si>
  <si>
    <t>Ropa de adultos</t>
  </si>
  <si>
    <t>Ropa de niños</t>
  </si>
  <si>
    <t>Calzado</t>
  </si>
  <si>
    <t>Acessorios</t>
  </si>
  <si>
    <t>Joyería</t>
  </si>
  <si>
    <t>Otros</t>
  </si>
  <si>
    <t>COMUNICACIÓN</t>
  </si>
  <si>
    <t>Cel. Claudia</t>
  </si>
  <si>
    <t>Cel. Carlos</t>
  </si>
  <si>
    <t>Cel.Kary</t>
  </si>
  <si>
    <t>TRANSPORTE</t>
  </si>
  <si>
    <t>Combustible Fusion</t>
  </si>
  <si>
    <t>Seguro Fusion</t>
  </si>
  <si>
    <t>Mantenimiento Fusion</t>
  </si>
  <si>
    <t>Derecho vehicular Fusion</t>
  </si>
  <si>
    <t>Casetas</t>
  </si>
  <si>
    <t>ADO</t>
  </si>
  <si>
    <t>HIGIENE</t>
  </si>
  <si>
    <t>Cosmeticos</t>
  </si>
  <si>
    <t>Peluquería / S. Belleza</t>
  </si>
  <si>
    <t>Lavanderia</t>
  </si>
  <si>
    <t xml:space="preserve">Productos de limpieza </t>
  </si>
  <si>
    <t>NIÑOS</t>
  </si>
  <si>
    <t>Jugetes/juegos</t>
  </si>
  <si>
    <t>DESARROLLO PERSONAL</t>
  </si>
  <si>
    <t>Libros</t>
  </si>
  <si>
    <t>Platzi</t>
  </si>
  <si>
    <t>Papeleria</t>
  </si>
  <si>
    <t>Inglés Thiago</t>
  </si>
  <si>
    <t>Arte Thiago</t>
  </si>
  <si>
    <t>Escuela kary</t>
  </si>
  <si>
    <t>DIVERSIÓN</t>
  </si>
  <si>
    <t>Cine/teatro</t>
  </si>
  <si>
    <t>Gimnasio/piscina</t>
  </si>
  <si>
    <t xml:space="preserve"> </t>
  </si>
  <si>
    <t>DEUDAS</t>
  </si>
  <si>
    <t>Anualidad Prestige</t>
  </si>
  <si>
    <t>Anualidad Platinum</t>
  </si>
  <si>
    <t>OTROS GASTOS</t>
  </si>
  <si>
    <t>Regalos</t>
  </si>
  <si>
    <t>Vacaciones</t>
  </si>
  <si>
    <t>Veterinario</t>
  </si>
  <si>
    <t>Comida mascota</t>
  </si>
  <si>
    <t>AHORROS</t>
  </si>
  <si>
    <t>Ahorro Inversion</t>
  </si>
  <si>
    <t>OTROS</t>
  </si>
  <si>
    <t>Presupuesto</t>
  </si>
  <si>
    <t>AÑO 2026</t>
  </si>
  <si>
    <t>En este lugar no llenas nada. Es una vista del presupuesto de todo el año y todo se hará automicamente después de llenar los datos en los meses, de Enero hasta Diciembre
- Todos los otros datos se convertirán automáticamente</t>
  </si>
  <si>
    <t>Fuente:</t>
  </si>
  <si>
    <t>Categoría</t>
  </si>
  <si>
    <t>Ingresos previstos</t>
  </si>
  <si>
    <t>Ingresos        reales</t>
  </si>
  <si>
    <t>Diferencia</t>
  </si>
  <si>
    <t>Notas</t>
  </si>
  <si>
    <t>SUMA</t>
  </si>
  <si>
    <t>Gastos previstos</t>
  </si>
  <si>
    <t>Gastos         reales</t>
  </si>
  <si>
    <t>Gastos reales</t>
  </si>
  <si>
    <t>Resumen del presupuesto</t>
  </si>
  <si>
    <t>Plan del presupuesto</t>
  </si>
  <si>
    <t>Despues de planear ese valor aqui debe ser "0"</t>
  </si>
  <si>
    <t>Diferencia (resto del dinero)</t>
  </si>
  <si>
    <t>Ejecución del presupuesto</t>
  </si>
  <si>
    <t>Ingresos reales</t>
  </si>
  <si>
    <t>Para crear un presupuesto:
- A principios de este mes, rellene los campos en amarillo, despues de forma regular registre los gastos de cada dia en la tabla a la derecha
- Todos los otros datos se convertirá automáticamente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</si>
  <si>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</si>
  <si>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</si>
  <si>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</si>
  <si>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</si>
  <si>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</si>
  <si>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</si>
  <si>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</si>
  <si>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</si>
  <si>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</si>
  <si>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</si>
  <si>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</si>
  <si>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</si>
  <si>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</si>
  <si>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</si>
  <si>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</si>
  <si>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</si>
  <si>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</si>
  <si>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</si>
  <si>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</si>
  <si>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</si>
  <si>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</si>
  <si>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</si>
  <si>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</si>
  <si>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</si>
  <si>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</si>
  <si>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</si>
  <si>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</si>
  <si>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</si>
  <si>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</si>
  <si>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</si>
  <si>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</si>
  <si>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Registro de gastos diarios</t>
  </si>
  <si>
    <t>Los campos siguientes son para un registro diario de gastos en cada categoría.</t>
  </si>
  <si>
    <t>Si quieres incluir mas gastos en una celda, por el mismo dia, ingresa "=" y sigue la ecuación, por ejemplo:. = 25 + 20.5</t>
  </si>
  <si>
    <t>Tec Kary</t>
  </si>
  <si>
    <t>Disney</t>
  </si>
  <si>
    <t>Google</t>
  </si>
  <si>
    <t>Despues de la planificacion de tu presupuesto, aquí darte "0"</t>
  </si>
  <si>
    <t>Diferencia (resta del dinero)</t>
  </si>
  <si>
    <t>Registre de gastos diarios</t>
  </si>
  <si>
    <t>Mascotas</t>
  </si>
  <si>
    <t>Lapices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</si>
</sst>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_z_ł"/>
    <numFmt numFmtId="165" formatCode="mmmm\ yyyy"/>
    <numFmt numFmtId="166" formatCode="_-[$$-80A]* #,##0.00_-;\-[$$-80A]* #,##0.00_-;_-[$$-80A]* &quot;-&quot;??_-;_-@"/>
  </numFmts>
  <fonts count="21">
    <font>
      <sz val="11.0"/>
      <color rgb="FF000000"/>
      <name val="Calibri"/>
      <scheme val="minor"/>
    </font>
    <font>
      <b/>
      <sz val="18.0"/>
      <color rgb="FFFFFFFF"/>
      <name val="Calibri"/>
    </font>
    <font/>
    <font>
      <sz val="11.0"/>
      <color rgb="FF000000"/>
      <name val="Calibri"/>
    </font>
    <font>
      <b/>
      <sz val="16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b/>
      <sz val="11.0"/>
      <color rgb="FFFFFFFF"/>
      <name val="Calibri"/>
    </font>
    <font>
      <b/>
      <sz val="13.0"/>
      <color rgb="FFFFFFFF"/>
      <name val="Calibri"/>
    </font>
    <font>
      <b/>
      <sz val="20.0"/>
      <color theme="1"/>
      <name val="Calibri"/>
    </font>
    <font>
      <b/>
      <sz val="15.0"/>
      <color theme="1"/>
      <name val="Calibri"/>
    </font>
    <font>
      <b/>
      <u/>
      <sz val="11.0"/>
      <color rgb="FF000000"/>
      <name val="Calibri"/>
    </font>
    <font>
      <b/>
      <sz val="15.0"/>
      <color rgb="FF000000"/>
      <name val="Calibri"/>
    </font>
    <font>
      <b/>
      <u/>
      <sz val="11.0"/>
      <color rgb="FF000000"/>
      <name val="Calibri"/>
    </font>
    <font>
      <sz val="11.0"/>
      <color rgb="FFFFFFFF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b/>
      <u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B0FF89"/>
        <bgColor rgb="FFB0FF8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B34D"/>
        <bgColor rgb="FF54B34D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33CC33"/>
      </patternFill>
    </fill>
  </fills>
  <borders count="18">
    <border/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8000"/>
      </bottom>
    </border>
    <border>
      <left/>
      <right/>
      <top/>
      <bottom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top style="double">
        <color rgb="FF1F497D"/>
      </top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4" numFmtId="0" xfId="0" applyBorder="1" applyFont="1"/>
    <xf borderId="5" fillId="0" fontId="3" numFmtId="0" xfId="0" applyBorder="1" applyFont="1"/>
    <xf borderId="0" fillId="0" fontId="4" numFmtId="0" xfId="0" applyFont="1"/>
    <xf borderId="6" fillId="3" fontId="5" numFmtId="4" xfId="0" applyAlignment="1" applyBorder="1" applyFill="1" applyFont="1" applyNumberFormat="1">
      <alignment horizontal="center" vertical="center"/>
    </xf>
    <xf borderId="7" fillId="0" fontId="6" numFmtId="4" xfId="0" applyAlignment="1" applyBorder="1" applyFont="1" applyNumberFormat="1">
      <alignment horizontal="left" vertical="center"/>
    </xf>
    <xf borderId="7" fillId="0" fontId="6" numFmtId="4" xfId="0" applyAlignment="1" applyBorder="1" applyFont="1" applyNumberFormat="1">
      <alignment horizontal="left" readingOrder="0" vertical="center"/>
    </xf>
    <xf borderId="6" fillId="4" fontId="7" numFmtId="4" xfId="0" applyAlignment="1" applyBorder="1" applyFill="1" applyFont="1" applyNumberFormat="1">
      <alignment horizontal="left" vertical="center"/>
    </xf>
    <xf borderId="0" fillId="0" fontId="6" numFmtId="0" xfId="0" applyAlignment="1" applyFont="1">
      <alignment horizontal="left"/>
    </xf>
    <xf borderId="0" fillId="0" fontId="5" numFmtId="4" xfId="0" applyAlignment="1" applyFont="1" applyNumberFormat="1">
      <alignment horizontal="left" vertical="center"/>
    </xf>
    <xf borderId="0" fillId="0" fontId="5" numFmtId="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left" vertical="center"/>
    </xf>
    <xf borderId="6" fillId="4" fontId="6" numFmtId="4" xfId="0" applyAlignment="1" applyBorder="1" applyFont="1" applyNumberFormat="1">
      <alignment horizontal="left" vertical="center"/>
    </xf>
    <xf borderId="6" fillId="2" fontId="1" numFmtId="0" xfId="0" applyAlignment="1" applyBorder="1" applyFont="1">
      <alignment horizontal="center"/>
    </xf>
    <xf borderId="8" fillId="5" fontId="4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left"/>
    </xf>
    <xf borderId="10" fillId="2" fontId="10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vertical="center"/>
    </xf>
    <xf borderId="10" fillId="6" fontId="10" numFmtId="0" xfId="0" applyAlignment="1" applyBorder="1" applyFill="1" applyFont="1">
      <alignment horizontal="center" vertical="center"/>
    </xf>
    <xf borderId="10" fillId="6" fontId="11" numFmtId="164" xfId="0" applyAlignment="1" applyBorder="1" applyFont="1" applyNumberFormat="1">
      <alignment horizontal="right" shrinkToFit="0" vertical="center" wrapText="1"/>
    </xf>
    <xf borderId="12" fillId="0" fontId="2" numFmtId="0" xfId="0" applyBorder="1" applyFont="1"/>
    <xf borderId="6" fillId="3" fontId="3" numFmtId="164" xfId="0" applyBorder="1" applyFont="1" applyNumberFormat="1"/>
    <xf borderId="6" fillId="3" fontId="3" numFmtId="0" xfId="0" applyBorder="1" applyFont="1"/>
    <xf borderId="7" fillId="0" fontId="3" numFmtId="164" xfId="0" applyBorder="1" applyFont="1" applyNumberFormat="1"/>
    <xf borderId="7" fillId="0" fontId="3" numFmtId="0" xfId="0" applyBorder="1" applyFont="1"/>
    <xf borderId="0" fillId="0" fontId="7" numFmtId="4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10" fillId="6" fontId="10" numFmtId="4" xfId="0" applyAlignment="1" applyBorder="1" applyFont="1" applyNumberFormat="1">
      <alignment horizontal="center" vertical="center"/>
    </xf>
    <xf borderId="10" fillId="6" fontId="11" numFmtId="4" xfId="0" applyBorder="1" applyFont="1" applyNumberFormat="1"/>
    <xf borderId="7" fillId="3" fontId="5" numFmtId="4" xfId="0" applyAlignment="1" applyBorder="1" applyFont="1" applyNumberFormat="1">
      <alignment horizontal="center" vertical="center"/>
    </xf>
    <xf borderId="0" fillId="0" fontId="3" numFmtId="164" xfId="0" applyFont="1" applyNumberFormat="1"/>
    <xf borderId="13" fillId="0" fontId="3" numFmtId="164" xfId="0" applyBorder="1" applyFont="1" applyNumberFormat="1"/>
    <xf borderId="6" fillId="4" fontId="3" numFmtId="164" xfId="0" applyBorder="1" applyFont="1" applyNumberFormat="1"/>
    <xf borderId="6" fillId="4" fontId="3" numFmtId="0" xfId="0" applyBorder="1" applyFont="1"/>
    <xf borderId="10" fillId="0" fontId="3" numFmtId="0" xfId="0" applyBorder="1" applyFont="1"/>
    <xf borderId="0" fillId="0" fontId="10" numFmtId="164" xfId="0" applyFont="1" applyNumberFormat="1"/>
    <xf borderId="10" fillId="6" fontId="10" numFmtId="164" xfId="0" applyAlignment="1" applyBorder="1" applyFont="1" applyNumberFormat="1">
      <alignment horizontal="center" vertical="center"/>
    </xf>
    <xf borderId="10" fillId="6" fontId="11" numFmtId="164" xfId="0" applyBorder="1" applyFont="1" applyNumberFormat="1"/>
    <xf borderId="0" fillId="0" fontId="7" numFmtId="4" xfId="0" applyFont="1" applyNumberFormat="1"/>
    <xf borderId="3" fillId="7" fontId="12" numFmtId="4" xfId="0" applyAlignment="1" applyBorder="1" applyFill="1" applyFont="1" applyNumberFormat="1">
      <alignment horizontal="center"/>
    </xf>
    <xf borderId="14" fillId="0" fontId="2" numFmtId="0" xfId="0" applyBorder="1" applyFont="1"/>
    <xf borderId="0" fillId="0" fontId="6" numFmtId="4" xfId="0" applyAlignment="1" applyFont="1" applyNumberFormat="1">
      <alignment horizontal="left"/>
    </xf>
    <xf borderId="0" fillId="0" fontId="3" numFmtId="2" xfId="0" applyFont="1" applyNumberFormat="1"/>
    <xf borderId="0" fillId="0" fontId="6" numFmtId="2" xfId="0" applyAlignment="1" applyFont="1" applyNumberFormat="1">
      <alignment horizontal="left"/>
    </xf>
    <xf borderId="15" fillId="0" fontId="13" numFmtId="2" xfId="0" applyAlignment="1" applyBorder="1" applyFont="1" applyNumberFormat="1">
      <alignment horizontal="left"/>
    </xf>
    <xf borderId="15" fillId="0" fontId="3" numFmtId="2" xfId="0" applyAlignment="1" applyBorder="1" applyFont="1" applyNumberFormat="1">
      <alignment horizontal="right"/>
    </xf>
    <xf borderId="15" fillId="0" fontId="2" numFmtId="0" xfId="0" applyBorder="1" applyFont="1"/>
    <xf borderId="15" fillId="0" fontId="3" numFmtId="2" xfId="0" applyBorder="1" applyFont="1" applyNumberFormat="1"/>
    <xf borderId="0" fillId="0" fontId="3" numFmtId="2" xfId="0" applyAlignment="1" applyFont="1" applyNumberFormat="1">
      <alignment horizontal="right"/>
    </xf>
    <xf borderId="1" fillId="3" fontId="3" numFmtId="2" xfId="0" applyAlignment="1" applyBorder="1" applyFont="1" applyNumberFormat="1">
      <alignment horizontal="right" vertical="center"/>
    </xf>
    <xf borderId="6" fillId="3" fontId="14" numFmtId="2" xfId="0" applyAlignment="1" applyBorder="1" applyFont="1" applyNumberFormat="1">
      <alignment vertical="center"/>
    </xf>
    <xf borderId="15" fillId="0" fontId="15" numFmtId="2" xfId="0" applyAlignment="1" applyBorder="1" applyFont="1" applyNumberFormat="1">
      <alignment shrinkToFit="0" wrapText="1"/>
    </xf>
    <xf borderId="1" fillId="3" fontId="3" numFmtId="0" xfId="0" applyAlignment="1" applyBorder="1" applyFont="1">
      <alignment horizontal="right" vertical="center"/>
    </xf>
    <xf borderId="6" fillId="3" fontId="16" numFmtId="2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/>
    </xf>
    <xf borderId="0" fillId="0" fontId="3" numFmtId="4" xfId="0" applyAlignment="1" applyFont="1" applyNumberFormat="1">
      <alignment horizontal="right"/>
    </xf>
    <xf borderId="16" fillId="8" fontId="3" numFmtId="164" xfId="0" applyBorder="1" applyFill="1" applyFont="1" applyNumberFormat="1"/>
    <xf borderId="8" fillId="5" fontId="4" numFmtId="165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/>
    </xf>
    <xf borderId="7" fillId="9" fontId="3" numFmtId="164" xfId="0" applyAlignment="1" applyBorder="1" applyFill="1" applyFont="1" applyNumberFormat="1">
      <alignment readingOrder="0"/>
    </xf>
    <xf borderId="7" fillId="4" fontId="3" numFmtId="164" xfId="0" applyBorder="1" applyFont="1" applyNumberForma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7" fillId="9" fontId="3" numFmtId="164" xfId="0" applyBorder="1" applyFont="1" applyNumberFormat="1"/>
    <xf borderId="0" fillId="0" fontId="4" numFmtId="0" xfId="0" applyAlignment="1" applyFont="1">
      <alignment horizontal="left"/>
    </xf>
    <xf borderId="0" fillId="0" fontId="18" numFmtId="0" xfId="0" applyFont="1"/>
    <xf borderId="17" fillId="10" fontId="10" numFmtId="164" xfId="0" applyBorder="1" applyFill="1" applyFont="1" applyNumberFormat="1"/>
    <xf borderId="0" fillId="0" fontId="19" numFmtId="2" xfId="0" applyFont="1" applyNumberFormat="1"/>
    <xf borderId="7" fillId="0" fontId="3" numFmtId="166" xfId="0" applyBorder="1" applyFont="1" applyNumberFormat="1"/>
    <xf borderId="0" fillId="0" fontId="18" numFmtId="0" xfId="0" applyFont="1"/>
    <xf borderId="6" fillId="3" fontId="20" numFmtId="166" xfId="0" applyAlignment="1" applyBorder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8000"/>
          <bgColor rgb="FF008000"/>
        </patternFill>
      </fill>
      <border/>
    </dxf>
    <dxf>
      <font/>
      <fill>
        <patternFill patternType="solid">
          <fgColor rgb="FFCCFF99"/>
          <bgColor rgb="FFCCFF99"/>
        </patternFill>
      </fill>
      <border/>
    </dxf>
    <dxf>
      <font/>
      <fill>
        <patternFill patternType="solid">
          <fgColor rgb="FFEAFFD5"/>
          <bgColor rgb="FFEAFFD5"/>
        </patternFill>
      </fill>
      <border/>
    </dxf>
  </dxfs>
  <tableStyles count="180">
    <tableStyle count="3" pivot="0" name="Enero-style">
      <tableStyleElement dxfId="1" type="headerRow"/>
      <tableStyleElement dxfId="2" type="firstRowStripe"/>
      <tableStyleElement dxfId="3" type="secondRowStripe"/>
    </tableStyle>
    <tableStyle count="3" pivot="0" name="Enero-style 2">
      <tableStyleElement dxfId="1" type="headerRow"/>
      <tableStyleElement dxfId="2" type="firstRowStripe"/>
      <tableStyleElement dxfId="3" type="secondRowStripe"/>
    </tableStyle>
    <tableStyle count="3" pivot="0" name="Enero-style 3">
      <tableStyleElement dxfId="1" type="headerRow"/>
      <tableStyleElement dxfId="2" type="firstRowStripe"/>
      <tableStyleElement dxfId="3" type="secondRowStripe"/>
    </tableStyle>
    <tableStyle count="3" pivot="0" name="Enero-style 4">
      <tableStyleElement dxfId="1" type="headerRow"/>
      <tableStyleElement dxfId="2" type="firstRowStripe"/>
      <tableStyleElement dxfId="3" type="secondRowStripe"/>
    </tableStyle>
    <tableStyle count="3" pivot="0" name="Enero-style 5">
      <tableStyleElement dxfId="1" type="headerRow"/>
      <tableStyleElement dxfId="2" type="firstRowStripe"/>
      <tableStyleElement dxfId="3" type="secondRowStripe"/>
    </tableStyle>
    <tableStyle count="3" pivot="0" name="Enero-style 6">
      <tableStyleElement dxfId="1" type="headerRow"/>
      <tableStyleElement dxfId="2" type="firstRowStripe"/>
      <tableStyleElement dxfId="3" type="secondRowStripe"/>
    </tableStyle>
    <tableStyle count="3" pivot="0" name="Enero-style 7">
      <tableStyleElement dxfId="1" type="headerRow"/>
      <tableStyleElement dxfId="2" type="firstRowStripe"/>
      <tableStyleElement dxfId="3" type="secondRowStripe"/>
    </tableStyle>
    <tableStyle count="3" pivot="0" name="Enero-style 8">
      <tableStyleElement dxfId="1" type="headerRow"/>
      <tableStyleElement dxfId="2" type="firstRowStripe"/>
      <tableStyleElement dxfId="3" type="secondRowStripe"/>
    </tableStyle>
    <tableStyle count="3" pivot="0" name="Enero-style 9">
      <tableStyleElement dxfId="1" type="headerRow"/>
      <tableStyleElement dxfId="2" type="firstRowStripe"/>
      <tableStyleElement dxfId="3" type="secondRowStripe"/>
    </tableStyle>
    <tableStyle count="3" pivot="0" name="Enero-style 10">
      <tableStyleElement dxfId="1" type="headerRow"/>
      <tableStyleElement dxfId="2" type="firstRowStripe"/>
      <tableStyleElement dxfId="3" type="secondRowStripe"/>
    </tableStyle>
    <tableStyle count="3" pivot="0" name="Enero-style 11">
      <tableStyleElement dxfId="1" type="headerRow"/>
      <tableStyleElement dxfId="2" type="firstRowStripe"/>
      <tableStyleElement dxfId="3" type="secondRowStripe"/>
    </tableStyle>
    <tableStyle count="3" pivot="0" name="Enero-style 12">
      <tableStyleElement dxfId="1" type="headerRow"/>
      <tableStyleElement dxfId="2" type="firstRowStripe"/>
      <tableStyleElement dxfId="3" type="secondRowStripe"/>
    </tableStyle>
    <tableStyle count="3" pivot="0" name="Enero-style 13">
      <tableStyleElement dxfId="1" type="headerRow"/>
      <tableStyleElement dxfId="2" type="firstRowStripe"/>
      <tableStyleElement dxfId="3" type="secondRowStripe"/>
    </tableStyle>
    <tableStyle count="3" pivot="0" name="Enero-style 14">
      <tableStyleElement dxfId="1" type="headerRow"/>
      <tableStyleElement dxfId="2" type="firstRowStripe"/>
      <tableStyleElement dxfId="3" type="secondRowStripe"/>
    </tableStyle>
    <tableStyle count="3" pivot="0" name="Enero-style 15">
      <tableStyleElement dxfId="1" type="headerRow"/>
      <tableStyleElement dxfId="2" type="firstRowStripe"/>
      <tableStyleElement dxfId="3" type="secondRowStripe"/>
    </tableStyle>
    <tableStyle count="3" pivot="0" name="Febrero-style">
      <tableStyleElement dxfId="1" type="headerRow"/>
      <tableStyleElement dxfId="2" type="firstRowStripe"/>
      <tableStyleElement dxfId="3" type="secondRowStripe"/>
    </tableStyle>
    <tableStyle count="3" pivot="0" name="Febrero-style 2">
      <tableStyleElement dxfId="1" type="headerRow"/>
      <tableStyleElement dxfId="2" type="firstRowStripe"/>
      <tableStyleElement dxfId="3" type="secondRowStripe"/>
    </tableStyle>
    <tableStyle count="3" pivot="0" name="Febrero-style 3">
      <tableStyleElement dxfId="1" type="headerRow"/>
      <tableStyleElement dxfId="2" type="firstRowStripe"/>
      <tableStyleElement dxfId="3" type="secondRowStripe"/>
    </tableStyle>
    <tableStyle count="3" pivot="0" name="Febrero-style 4">
      <tableStyleElement dxfId="1" type="headerRow"/>
      <tableStyleElement dxfId="2" type="firstRowStripe"/>
      <tableStyleElement dxfId="3" type="secondRowStripe"/>
    </tableStyle>
    <tableStyle count="3" pivot="0" name="Febrero-style 5">
      <tableStyleElement dxfId="1" type="headerRow"/>
      <tableStyleElement dxfId="2" type="firstRowStripe"/>
      <tableStyleElement dxfId="3" type="secondRowStripe"/>
    </tableStyle>
    <tableStyle count="3" pivot="0" name="Febrero-style 6">
      <tableStyleElement dxfId="1" type="headerRow"/>
      <tableStyleElement dxfId="2" type="firstRowStripe"/>
      <tableStyleElement dxfId="3" type="secondRowStripe"/>
    </tableStyle>
    <tableStyle count="3" pivot="0" name="Febrero-style 7">
      <tableStyleElement dxfId="1" type="headerRow"/>
      <tableStyleElement dxfId="2" type="firstRowStripe"/>
      <tableStyleElement dxfId="3" type="secondRowStripe"/>
    </tableStyle>
    <tableStyle count="3" pivot="0" name="Febrero-style 8">
      <tableStyleElement dxfId="1" type="headerRow"/>
      <tableStyleElement dxfId="2" type="firstRowStripe"/>
      <tableStyleElement dxfId="3" type="secondRowStripe"/>
    </tableStyle>
    <tableStyle count="3" pivot="0" name="Febrero-style 9">
      <tableStyleElement dxfId="1" type="headerRow"/>
      <tableStyleElement dxfId="2" type="firstRowStripe"/>
      <tableStyleElement dxfId="3" type="secondRowStripe"/>
    </tableStyle>
    <tableStyle count="3" pivot="0" name="Febrero-style 10">
      <tableStyleElement dxfId="1" type="headerRow"/>
      <tableStyleElement dxfId="2" type="firstRowStripe"/>
      <tableStyleElement dxfId="3" type="secondRowStripe"/>
    </tableStyle>
    <tableStyle count="3" pivot="0" name="Febrero-style 11">
      <tableStyleElement dxfId="1" type="headerRow"/>
      <tableStyleElement dxfId="2" type="firstRowStripe"/>
      <tableStyleElement dxfId="3" type="secondRowStripe"/>
    </tableStyle>
    <tableStyle count="3" pivot="0" name="Febrero-style 12">
      <tableStyleElement dxfId="1" type="headerRow"/>
      <tableStyleElement dxfId="2" type="firstRowStripe"/>
      <tableStyleElement dxfId="3" type="secondRowStripe"/>
    </tableStyle>
    <tableStyle count="3" pivot="0" name="Febrero-style 13">
      <tableStyleElement dxfId="1" type="headerRow"/>
      <tableStyleElement dxfId="2" type="firstRowStripe"/>
      <tableStyleElement dxfId="3" type="secondRowStripe"/>
    </tableStyle>
    <tableStyle count="3" pivot="0" name="Febrero-style 14">
      <tableStyleElement dxfId="1" type="headerRow"/>
      <tableStyleElement dxfId="2" type="firstRowStripe"/>
      <tableStyleElement dxfId="3" type="secondRowStripe"/>
    </tableStyle>
    <tableStyle count="3" pivot="0" name="Febrero-style 15">
      <tableStyleElement dxfId="1" type="headerRow"/>
      <tableStyleElement dxfId="2" type="firstRowStripe"/>
      <tableStyleElement dxfId="3" type="secondRowStripe"/>
    </tableStyle>
    <tableStyle count="3" pivot="0" name="Marzo-style">
      <tableStyleElement dxfId="1" type="headerRow"/>
      <tableStyleElement dxfId="2" type="firstRowStripe"/>
      <tableStyleElement dxfId="3" type="secondRowStripe"/>
    </tableStyle>
    <tableStyle count="3" pivot="0" name="Marzo-style 2">
      <tableStyleElement dxfId="1" type="headerRow"/>
      <tableStyleElement dxfId="2" type="firstRowStripe"/>
      <tableStyleElement dxfId="3" type="secondRowStripe"/>
    </tableStyle>
    <tableStyle count="3" pivot="0" name="Marzo-style 3">
      <tableStyleElement dxfId="1" type="headerRow"/>
      <tableStyleElement dxfId="2" type="firstRowStripe"/>
      <tableStyleElement dxfId="3" type="secondRowStripe"/>
    </tableStyle>
    <tableStyle count="3" pivot="0" name="Marzo-style 4">
      <tableStyleElement dxfId="1" type="headerRow"/>
      <tableStyleElement dxfId="2" type="firstRowStripe"/>
      <tableStyleElement dxfId="3" type="secondRowStripe"/>
    </tableStyle>
    <tableStyle count="3" pivot="0" name="Marzo-style 5">
      <tableStyleElement dxfId="1" type="headerRow"/>
      <tableStyleElement dxfId="2" type="firstRowStripe"/>
      <tableStyleElement dxfId="3" type="secondRowStripe"/>
    </tableStyle>
    <tableStyle count="3" pivot="0" name="Marzo-style 6">
      <tableStyleElement dxfId="1" type="headerRow"/>
      <tableStyleElement dxfId="2" type="firstRowStripe"/>
      <tableStyleElement dxfId="3" type="secondRowStripe"/>
    </tableStyle>
    <tableStyle count="3" pivot="0" name="Marzo-style 7">
      <tableStyleElement dxfId="1" type="headerRow"/>
      <tableStyleElement dxfId="2" type="firstRowStripe"/>
      <tableStyleElement dxfId="3" type="secondRowStripe"/>
    </tableStyle>
    <tableStyle count="3" pivot="0" name="Marzo-style 8">
      <tableStyleElement dxfId="1" type="headerRow"/>
      <tableStyleElement dxfId="2" type="firstRowStripe"/>
      <tableStyleElement dxfId="3" type="secondRowStripe"/>
    </tableStyle>
    <tableStyle count="3" pivot="0" name="Marzo-style 9">
      <tableStyleElement dxfId="1" type="headerRow"/>
      <tableStyleElement dxfId="2" type="firstRowStripe"/>
      <tableStyleElement dxfId="3" type="secondRowStripe"/>
    </tableStyle>
    <tableStyle count="3" pivot="0" name="Marzo-style 10">
      <tableStyleElement dxfId="1" type="headerRow"/>
      <tableStyleElement dxfId="2" type="firstRowStripe"/>
      <tableStyleElement dxfId="3" type="secondRowStripe"/>
    </tableStyle>
    <tableStyle count="3" pivot="0" name="Marzo-style 11">
      <tableStyleElement dxfId="1" type="headerRow"/>
      <tableStyleElement dxfId="2" type="firstRowStripe"/>
      <tableStyleElement dxfId="3" type="secondRowStripe"/>
    </tableStyle>
    <tableStyle count="3" pivot="0" name="Marzo-style 12">
      <tableStyleElement dxfId="1" type="headerRow"/>
      <tableStyleElement dxfId="2" type="firstRowStripe"/>
      <tableStyleElement dxfId="3" type="secondRowStripe"/>
    </tableStyle>
    <tableStyle count="3" pivot="0" name="Marzo-style 13">
      <tableStyleElement dxfId="1" type="headerRow"/>
      <tableStyleElement dxfId="2" type="firstRowStripe"/>
      <tableStyleElement dxfId="3" type="secondRowStripe"/>
    </tableStyle>
    <tableStyle count="3" pivot="0" name="Marzo-style 14">
      <tableStyleElement dxfId="1" type="headerRow"/>
      <tableStyleElement dxfId="2" type="firstRowStripe"/>
      <tableStyleElement dxfId="3" type="secondRowStripe"/>
    </tableStyle>
    <tableStyle count="3" pivot="0" name="Marzo-style 15">
      <tableStyleElement dxfId="1" type="headerRow"/>
      <tableStyleElement dxfId="2" type="firstRowStripe"/>
      <tableStyleElement dxfId="3" type="secondRowStripe"/>
    </tableStyle>
    <tableStyle count="3" pivot="0" name="Abril-style">
      <tableStyleElement dxfId="1" type="headerRow"/>
      <tableStyleElement dxfId="2" type="firstRowStripe"/>
      <tableStyleElement dxfId="3" type="secondRowStripe"/>
    </tableStyle>
    <tableStyle count="3" pivot="0" name="Abril-style 2">
      <tableStyleElement dxfId="1" type="headerRow"/>
      <tableStyleElement dxfId="2" type="firstRowStripe"/>
      <tableStyleElement dxfId="3" type="secondRowStripe"/>
    </tableStyle>
    <tableStyle count="3" pivot="0" name="Abril-style 3">
      <tableStyleElement dxfId="1" type="headerRow"/>
      <tableStyleElement dxfId="2" type="firstRowStripe"/>
      <tableStyleElement dxfId="3" type="secondRowStripe"/>
    </tableStyle>
    <tableStyle count="3" pivot="0" name="Abril-style 4">
      <tableStyleElement dxfId="1" type="headerRow"/>
      <tableStyleElement dxfId="2" type="firstRowStripe"/>
      <tableStyleElement dxfId="3" type="secondRowStripe"/>
    </tableStyle>
    <tableStyle count="3" pivot="0" name="Abril-style 5">
      <tableStyleElement dxfId="1" type="headerRow"/>
      <tableStyleElement dxfId="2" type="firstRowStripe"/>
      <tableStyleElement dxfId="3" type="secondRowStripe"/>
    </tableStyle>
    <tableStyle count="3" pivot="0" name="Abril-style 6">
      <tableStyleElement dxfId="1" type="headerRow"/>
      <tableStyleElement dxfId="2" type="firstRowStripe"/>
      <tableStyleElement dxfId="3" type="secondRowStripe"/>
    </tableStyle>
    <tableStyle count="3" pivot="0" name="Abril-style 7">
      <tableStyleElement dxfId="1" type="headerRow"/>
      <tableStyleElement dxfId="2" type="firstRowStripe"/>
      <tableStyleElement dxfId="3" type="secondRowStripe"/>
    </tableStyle>
    <tableStyle count="3" pivot="0" name="Abril-style 8">
      <tableStyleElement dxfId="1" type="headerRow"/>
      <tableStyleElement dxfId="2" type="firstRowStripe"/>
      <tableStyleElement dxfId="3" type="secondRowStripe"/>
    </tableStyle>
    <tableStyle count="3" pivot="0" name="Abril-style 9">
      <tableStyleElement dxfId="1" type="headerRow"/>
      <tableStyleElement dxfId="2" type="firstRowStripe"/>
      <tableStyleElement dxfId="3" type="secondRowStripe"/>
    </tableStyle>
    <tableStyle count="3" pivot="0" name="Abril-style 10">
      <tableStyleElement dxfId="1" type="headerRow"/>
      <tableStyleElement dxfId="2" type="firstRowStripe"/>
      <tableStyleElement dxfId="3" type="secondRowStripe"/>
    </tableStyle>
    <tableStyle count="3" pivot="0" name="Abril-style 11">
      <tableStyleElement dxfId="1" type="headerRow"/>
      <tableStyleElement dxfId="2" type="firstRowStripe"/>
      <tableStyleElement dxfId="3" type="secondRowStripe"/>
    </tableStyle>
    <tableStyle count="3" pivot="0" name="Abril-style 12">
      <tableStyleElement dxfId="1" type="headerRow"/>
      <tableStyleElement dxfId="2" type="firstRowStripe"/>
      <tableStyleElement dxfId="3" type="secondRowStripe"/>
    </tableStyle>
    <tableStyle count="3" pivot="0" name="Abril-style 13">
      <tableStyleElement dxfId="1" type="headerRow"/>
      <tableStyleElement dxfId="2" type="firstRowStripe"/>
      <tableStyleElement dxfId="3" type="secondRowStripe"/>
    </tableStyle>
    <tableStyle count="3" pivot="0" name="Abril-style 14">
      <tableStyleElement dxfId="1" type="headerRow"/>
      <tableStyleElement dxfId="2" type="firstRowStripe"/>
      <tableStyleElement dxfId="3" type="secondRowStripe"/>
    </tableStyle>
    <tableStyle count="3" pivot="0" name="Abril-style 15">
      <tableStyleElement dxfId="1" type="headerRow"/>
      <tableStyleElement dxfId="2" type="firstRowStripe"/>
      <tableStyleElement dxfId="3" type="secondRowStripe"/>
    </tableStyle>
    <tableStyle count="3" pivot="0" name="Mayo-style">
      <tableStyleElement dxfId="1" type="headerRow"/>
      <tableStyleElement dxfId="2" type="firstRowStripe"/>
      <tableStyleElement dxfId="3" type="secondRowStripe"/>
    </tableStyle>
    <tableStyle count="3" pivot="0" name="Mayo-style 2">
      <tableStyleElement dxfId="1" type="headerRow"/>
      <tableStyleElement dxfId="2" type="firstRowStripe"/>
      <tableStyleElement dxfId="3" type="secondRowStripe"/>
    </tableStyle>
    <tableStyle count="3" pivot="0" name="Mayo-style 3">
      <tableStyleElement dxfId="1" type="headerRow"/>
      <tableStyleElement dxfId="2" type="firstRowStripe"/>
      <tableStyleElement dxfId="3" type="secondRowStripe"/>
    </tableStyle>
    <tableStyle count="3" pivot="0" name="Mayo-style 4">
      <tableStyleElement dxfId="1" type="headerRow"/>
      <tableStyleElement dxfId="2" type="firstRowStripe"/>
      <tableStyleElement dxfId="3" type="secondRowStripe"/>
    </tableStyle>
    <tableStyle count="3" pivot="0" name="Mayo-style 5">
      <tableStyleElement dxfId="1" type="headerRow"/>
      <tableStyleElement dxfId="2" type="firstRowStripe"/>
      <tableStyleElement dxfId="3" type="secondRowStripe"/>
    </tableStyle>
    <tableStyle count="3" pivot="0" name="Mayo-style 6">
      <tableStyleElement dxfId="1" type="headerRow"/>
      <tableStyleElement dxfId="2" type="firstRowStripe"/>
      <tableStyleElement dxfId="3" type="secondRowStripe"/>
    </tableStyle>
    <tableStyle count="3" pivot="0" name="Mayo-style 7">
      <tableStyleElement dxfId="1" type="headerRow"/>
      <tableStyleElement dxfId="2" type="firstRowStripe"/>
      <tableStyleElement dxfId="3" type="secondRowStripe"/>
    </tableStyle>
    <tableStyle count="3" pivot="0" name="Mayo-style 8">
      <tableStyleElement dxfId="1" type="headerRow"/>
      <tableStyleElement dxfId="2" type="firstRowStripe"/>
      <tableStyleElement dxfId="3" type="secondRowStripe"/>
    </tableStyle>
    <tableStyle count="3" pivot="0" name="Mayo-style 9">
      <tableStyleElement dxfId="1" type="headerRow"/>
      <tableStyleElement dxfId="2" type="firstRowStripe"/>
      <tableStyleElement dxfId="3" type="secondRowStripe"/>
    </tableStyle>
    <tableStyle count="3" pivot="0" name="Mayo-style 10">
      <tableStyleElement dxfId="1" type="headerRow"/>
      <tableStyleElement dxfId="2" type="firstRowStripe"/>
      <tableStyleElement dxfId="3" type="secondRowStripe"/>
    </tableStyle>
    <tableStyle count="3" pivot="0" name="Mayo-style 11">
      <tableStyleElement dxfId="1" type="headerRow"/>
      <tableStyleElement dxfId="2" type="firstRowStripe"/>
      <tableStyleElement dxfId="3" type="secondRowStripe"/>
    </tableStyle>
    <tableStyle count="3" pivot="0" name="Mayo-style 12">
      <tableStyleElement dxfId="1" type="headerRow"/>
      <tableStyleElement dxfId="2" type="firstRowStripe"/>
      <tableStyleElement dxfId="3" type="secondRowStripe"/>
    </tableStyle>
    <tableStyle count="3" pivot="0" name="Mayo-style 13">
      <tableStyleElement dxfId="1" type="headerRow"/>
      <tableStyleElement dxfId="2" type="firstRowStripe"/>
      <tableStyleElement dxfId="3" type="secondRowStripe"/>
    </tableStyle>
    <tableStyle count="3" pivot="0" name="Mayo-style 14">
      <tableStyleElement dxfId="1" type="headerRow"/>
      <tableStyleElement dxfId="2" type="firstRowStripe"/>
      <tableStyleElement dxfId="3" type="secondRowStripe"/>
    </tableStyle>
    <tableStyle count="3" pivot="0" name="Mayo-style 15">
      <tableStyleElement dxfId="1" type="headerRow"/>
      <tableStyleElement dxfId="2" type="firstRowStripe"/>
      <tableStyleElement dxfId="3" type="secondRowStripe"/>
    </tableStyle>
    <tableStyle count="3" pivot="0" name="Junio-style">
      <tableStyleElement dxfId="1" type="headerRow"/>
      <tableStyleElement dxfId="2" type="firstRowStripe"/>
      <tableStyleElement dxfId="3" type="secondRowStripe"/>
    </tableStyle>
    <tableStyle count="3" pivot="0" name="Junio-style 2">
      <tableStyleElement dxfId="1" type="headerRow"/>
      <tableStyleElement dxfId="2" type="firstRowStripe"/>
      <tableStyleElement dxfId="3" type="secondRowStripe"/>
    </tableStyle>
    <tableStyle count="3" pivot="0" name="Junio-style 3">
      <tableStyleElement dxfId="1" type="headerRow"/>
      <tableStyleElement dxfId="2" type="firstRowStripe"/>
      <tableStyleElement dxfId="3" type="secondRowStripe"/>
    </tableStyle>
    <tableStyle count="3" pivot="0" name="Junio-style 4">
      <tableStyleElement dxfId="1" type="headerRow"/>
      <tableStyleElement dxfId="2" type="firstRowStripe"/>
      <tableStyleElement dxfId="3" type="secondRowStripe"/>
    </tableStyle>
    <tableStyle count="3" pivot="0" name="Junio-style 5">
      <tableStyleElement dxfId="1" type="headerRow"/>
      <tableStyleElement dxfId="2" type="firstRowStripe"/>
      <tableStyleElement dxfId="3" type="secondRowStripe"/>
    </tableStyle>
    <tableStyle count="3" pivot="0" name="Junio-style 6">
      <tableStyleElement dxfId="1" type="headerRow"/>
      <tableStyleElement dxfId="2" type="firstRowStripe"/>
      <tableStyleElement dxfId="3" type="secondRowStripe"/>
    </tableStyle>
    <tableStyle count="3" pivot="0" name="Junio-style 7">
      <tableStyleElement dxfId="1" type="headerRow"/>
      <tableStyleElement dxfId="2" type="firstRowStripe"/>
      <tableStyleElement dxfId="3" type="secondRowStripe"/>
    </tableStyle>
    <tableStyle count="3" pivot="0" name="Junio-style 8">
      <tableStyleElement dxfId="1" type="headerRow"/>
      <tableStyleElement dxfId="2" type="firstRowStripe"/>
      <tableStyleElement dxfId="3" type="secondRowStripe"/>
    </tableStyle>
    <tableStyle count="3" pivot="0" name="Junio-style 9">
      <tableStyleElement dxfId="1" type="headerRow"/>
      <tableStyleElement dxfId="2" type="firstRowStripe"/>
      <tableStyleElement dxfId="3" type="secondRowStripe"/>
    </tableStyle>
    <tableStyle count="3" pivot="0" name="Junio-style 10">
      <tableStyleElement dxfId="1" type="headerRow"/>
      <tableStyleElement dxfId="2" type="firstRowStripe"/>
      <tableStyleElement dxfId="3" type="secondRowStripe"/>
    </tableStyle>
    <tableStyle count="3" pivot="0" name="Junio-style 11">
      <tableStyleElement dxfId="1" type="headerRow"/>
      <tableStyleElement dxfId="2" type="firstRowStripe"/>
      <tableStyleElement dxfId="3" type="secondRowStripe"/>
    </tableStyle>
    <tableStyle count="3" pivot="0" name="Junio-style 12">
      <tableStyleElement dxfId="1" type="headerRow"/>
      <tableStyleElement dxfId="2" type="firstRowStripe"/>
      <tableStyleElement dxfId="3" type="secondRowStripe"/>
    </tableStyle>
    <tableStyle count="3" pivot="0" name="Junio-style 13">
      <tableStyleElement dxfId="1" type="headerRow"/>
      <tableStyleElement dxfId="2" type="firstRowStripe"/>
      <tableStyleElement dxfId="3" type="secondRowStripe"/>
    </tableStyle>
    <tableStyle count="3" pivot="0" name="Junio-style 14">
      <tableStyleElement dxfId="1" type="headerRow"/>
      <tableStyleElement dxfId="2" type="firstRowStripe"/>
      <tableStyleElement dxfId="3" type="secondRowStripe"/>
    </tableStyle>
    <tableStyle count="3" pivot="0" name="Junio-style 15">
      <tableStyleElement dxfId="1" type="headerRow"/>
      <tableStyleElement dxfId="2" type="firstRowStripe"/>
      <tableStyleElement dxfId="3" type="secondRowStripe"/>
    </tableStyle>
    <tableStyle count="3" pivot="0" name="Julio-style">
      <tableStyleElement dxfId="1" type="headerRow"/>
      <tableStyleElement dxfId="2" type="firstRowStripe"/>
      <tableStyleElement dxfId="3" type="secondRowStripe"/>
    </tableStyle>
    <tableStyle count="3" pivot="0" name="Julio-style 2">
      <tableStyleElement dxfId="1" type="headerRow"/>
      <tableStyleElement dxfId="2" type="firstRowStripe"/>
      <tableStyleElement dxfId="3" type="secondRowStripe"/>
    </tableStyle>
    <tableStyle count="3" pivot="0" name="Julio-style 3">
      <tableStyleElement dxfId="1" type="headerRow"/>
      <tableStyleElement dxfId="2" type="firstRowStripe"/>
      <tableStyleElement dxfId="3" type="secondRowStripe"/>
    </tableStyle>
    <tableStyle count="3" pivot="0" name="Julio-style 4">
      <tableStyleElement dxfId="1" type="headerRow"/>
      <tableStyleElement dxfId="2" type="firstRowStripe"/>
      <tableStyleElement dxfId="3" type="secondRowStripe"/>
    </tableStyle>
    <tableStyle count="3" pivot="0" name="Julio-style 5">
      <tableStyleElement dxfId="1" type="headerRow"/>
      <tableStyleElement dxfId="2" type="firstRowStripe"/>
      <tableStyleElement dxfId="3" type="secondRowStripe"/>
    </tableStyle>
    <tableStyle count="3" pivot="0" name="Julio-style 6">
      <tableStyleElement dxfId="1" type="headerRow"/>
      <tableStyleElement dxfId="2" type="firstRowStripe"/>
      <tableStyleElement dxfId="3" type="secondRowStripe"/>
    </tableStyle>
    <tableStyle count="3" pivot="0" name="Julio-style 7">
      <tableStyleElement dxfId="1" type="headerRow"/>
      <tableStyleElement dxfId="2" type="firstRowStripe"/>
      <tableStyleElement dxfId="3" type="secondRowStripe"/>
    </tableStyle>
    <tableStyle count="3" pivot="0" name="Julio-style 8">
      <tableStyleElement dxfId="1" type="headerRow"/>
      <tableStyleElement dxfId="2" type="firstRowStripe"/>
      <tableStyleElement dxfId="3" type="secondRowStripe"/>
    </tableStyle>
    <tableStyle count="3" pivot="0" name="Julio-style 9">
      <tableStyleElement dxfId="1" type="headerRow"/>
      <tableStyleElement dxfId="2" type="firstRowStripe"/>
      <tableStyleElement dxfId="3" type="secondRowStripe"/>
    </tableStyle>
    <tableStyle count="3" pivot="0" name="Julio-style 10">
      <tableStyleElement dxfId="1" type="headerRow"/>
      <tableStyleElement dxfId="2" type="firstRowStripe"/>
      <tableStyleElement dxfId="3" type="secondRowStripe"/>
    </tableStyle>
    <tableStyle count="3" pivot="0" name="Julio-style 11">
      <tableStyleElement dxfId="1" type="headerRow"/>
      <tableStyleElement dxfId="2" type="firstRowStripe"/>
      <tableStyleElement dxfId="3" type="secondRowStripe"/>
    </tableStyle>
    <tableStyle count="3" pivot="0" name="Julio-style 12">
      <tableStyleElement dxfId="1" type="headerRow"/>
      <tableStyleElement dxfId="2" type="firstRowStripe"/>
      <tableStyleElement dxfId="3" type="secondRowStripe"/>
    </tableStyle>
    <tableStyle count="3" pivot="0" name="Julio-style 13">
      <tableStyleElement dxfId="1" type="headerRow"/>
      <tableStyleElement dxfId="2" type="firstRowStripe"/>
      <tableStyleElement dxfId="3" type="secondRowStripe"/>
    </tableStyle>
    <tableStyle count="3" pivot="0" name="Julio-style 14">
      <tableStyleElement dxfId="1" type="headerRow"/>
      <tableStyleElement dxfId="2" type="firstRowStripe"/>
      <tableStyleElement dxfId="3" type="secondRowStripe"/>
    </tableStyle>
    <tableStyle count="3" pivot="0" name="Julio-style 15">
      <tableStyleElement dxfId="1" type="headerRow"/>
      <tableStyleElement dxfId="2" type="firstRowStripe"/>
      <tableStyleElement dxfId="3" type="secondRowStripe"/>
    </tableStyle>
    <tableStyle count="3" pivot="0" name="Agosto-style">
      <tableStyleElement dxfId="1" type="headerRow"/>
      <tableStyleElement dxfId="2" type="firstRowStripe"/>
      <tableStyleElement dxfId="3" type="secondRowStripe"/>
    </tableStyle>
    <tableStyle count="3" pivot="0" name="Agosto-style 2">
      <tableStyleElement dxfId="1" type="headerRow"/>
      <tableStyleElement dxfId="2" type="firstRowStripe"/>
      <tableStyleElement dxfId="3" type="secondRowStripe"/>
    </tableStyle>
    <tableStyle count="3" pivot="0" name="Agosto-style 3">
      <tableStyleElement dxfId="1" type="headerRow"/>
      <tableStyleElement dxfId="2" type="firstRowStripe"/>
      <tableStyleElement dxfId="3" type="secondRowStripe"/>
    </tableStyle>
    <tableStyle count="3" pivot="0" name="Agosto-style 4">
      <tableStyleElement dxfId="1" type="headerRow"/>
      <tableStyleElement dxfId="2" type="firstRowStripe"/>
      <tableStyleElement dxfId="3" type="secondRowStripe"/>
    </tableStyle>
    <tableStyle count="3" pivot="0" name="Agosto-style 5">
      <tableStyleElement dxfId="1" type="headerRow"/>
      <tableStyleElement dxfId="2" type="firstRowStripe"/>
      <tableStyleElement dxfId="3" type="secondRowStripe"/>
    </tableStyle>
    <tableStyle count="3" pivot="0" name="Agosto-style 6">
      <tableStyleElement dxfId="1" type="headerRow"/>
      <tableStyleElement dxfId="2" type="firstRowStripe"/>
      <tableStyleElement dxfId="3" type="secondRowStripe"/>
    </tableStyle>
    <tableStyle count="3" pivot="0" name="Agosto-style 7">
      <tableStyleElement dxfId="1" type="headerRow"/>
      <tableStyleElement dxfId="2" type="firstRowStripe"/>
      <tableStyleElement dxfId="3" type="secondRowStripe"/>
    </tableStyle>
    <tableStyle count="3" pivot="0" name="Agosto-style 8">
      <tableStyleElement dxfId="1" type="headerRow"/>
      <tableStyleElement dxfId="2" type="firstRowStripe"/>
      <tableStyleElement dxfId="3" type="secondRowStripe"/>
    </tableStyle>
    <tableStyle count="3" pivot="0" name="Agosto-style 9">
      <tableStyleElement dxfId="1" type="headerRow"/>
      <tableStyleElement dxfId="2" type="firstRowStripe"/>
      <tableStyleElement dxfId="3" type="secondRowStripe"/>
    </tableStyle>
    <tableStyle count="3" pivot="0" name="Agosto-style 10">
      <tableStyleElement dxfId="1" type="headerRow"/>
      <tableStyleElement dxfId="2" type="firstRowStripe"/>
      <tableStyleElement dxfId="3" type="secondRowStripe"/>
    </tableStyle>
    <tableStyle count="3" pivot="0" name="Agosto-style 11">
      <tableStyleElement dxfId="1" type="headerRow"/>
      <tableStyleElement dxfId="2" type="firstRowStripe"/>
      <tableStyleElement dxfId="3" type="secondRowStripe"/>
    </tableStyle>
    <tableStyle count="3" pivot="0" name="Agosto-style 12">
      <tableStyleElement dxfId="1" type="headerRow"/>
      <tableStyleElement dxfId="2" type="firstRowStripe"/>
      <tableStyleElement dxfId="3" type="secondRowStripe"/>
    </tableStyle>
    <tableStyle count="3" pivot="0" name="Agosto-style 13">
      <tableStyleElement dxfId="1" type="headerRow"/>
      <tableStyleElement dxfId="2" type="firstRowStripe"/>
      <tableStyleElement dxfId="3" type="secondRowStripe"/>
    </tableStyle>
    <tableStyle count="3" pivot="0" name="Agosto-style 14">
      <tableStyleElement dxfId="1" type="headerRow"/>
      <tableStyleElement dxfId="2" type="firstRowStripe"/>
      <tableStyleElement dxfId="3" type="secondRowStripe"/>
    </tableStyle>
    <tableStyle count="3" pivot="0" name="Agosto-style 15">
      <tableStyleElement dxfId="1" type="headerRow"/>
      <tableStyleElement dxfId="2" type="firstRowStripe"/>
      <tableStyleElement dxfId="3" type="secondRowStripe"/>
    </tableStyle>
    <tableStyle count="3" pivot="0" name="Septiembre-style">
      <tableStyleElement dxfId="1" type="headerRow"/>
      <tableStyleElement dxfId="2" type="firstRowStripe"/>
      <tableStyleElement dxfId="3" type="secondRowStripe"/>
    </tableStyle>
    <tableStyle count="3" pivot="0" name="Septiembre-style 2">
      <tableStyleElement dxfId="1" type="headerRow"/>
      <tableStyleElement dxfId="2" type="firstRowStripe"/>
      <tableStyleElement dxfId="3" type="secondRowStripe"/>
    </tableStyle>
    <tableStyle count="3" pivot="0" name="Septiembre-style 3">
      <tableStyleElement dxfId="1" type="headerRow"/>
      <tableStyleElement dxfId="2" type="firstRowStripe"/>
      <tableStyleElement dxfId="3" type="secondRowStripe"/>
    </tableStyle>
    <tableStyle count="3" pivot="0" name="Septiembre-style 4">
      <tableStyleElement dxfId="1" type="headerRow"/>
      <tableStyleElement dxfId="2" type="firstRowStripe"/>
      <tableStyleElement dxfId="3" type="secondRowStripe"/>
    </tableStyle>
    <tableStyle count="3" pivot="0" name="Septiembre-style 5">
      <tableStyleElement dxfId="1" type="headerRow"/>
      <tableStyleElement dxfId="2" type="firstRowStripe"/>
      <tableStyleElement dxfId="3" type="secondRowStripe"/>
    </tableStyle>
    <tableStyle count="3" pivot="0" name="Septiembre-style 6">
      <tableStyleElement dxfId="1" type="headerRow"/>
      <tableStyleElement dxfId="2" type="firstRowStripe"/>
      <tableStyleElement dxfId="3" type="secondRowStripe"/>
    </tableStyle>
    <tableStyle count="3" pivot="0" name="Septiembre-style 7">
      <tableStyleElement dxfId="1" type="headerRow"/>
      <tableStyleElement dxfId="2" type="firstRowStripe"/>
      <tableStyleElement dxfId="3" type="secondRowStripe"/>
    </tableStyle>
    <tableStyle count="3" pivot="0" name="Septiembre-style 8">
      <tableStyleElement dxfId="1" type="headerRow"/>
      <tableStyleElement dxfId="2" type="firstRowStripe"/>
      <tableStyleElement dxfId="3" type="secondRowStripe"/>
    </tableStyle>
    <tableStyle count="3" pivot="0" name="Septiembre-style 9">
      <tableStyleElement dxfId="1" type="headerRow"/>
      <tableStyleElement dxfId="2" type="firstRowStripe"/>
      <tableStyleElement dxfId="3" type="secondRowStripe"/>
    </tableStyle>
    <tableStyle count="3" pivot="0" name="Septiembre-style 10">
      <tableStyleElement dxfId="1" type="headerRow"/>
      <tableStyleElement dxfId="2" type="firstRowStripe"/>
      <tableStyleElement dxfId="3" type="secondRowStripe"/>
    </tableStyle>
    <tableStyle count="3" pivot="0" name="Septiembre-style 11">
      <tableStyleElement dxfId="1" type="headerRow"/>
      <tableStyleElement dxfId="2" type="firstRowStripe"/>
      <tableStyleElement dxfId="3" type="secondRowStripe"/>
    </tableStyle>
    <tableStyle count="3" pivot="0" name="Septiembre-style 12">
      <tableStyleElement dxfId="1" type="headerRow"/>
      <tableStyleElement dxfId="2" type="firstRowStripe"/>
      <tableStyleElement dxfId="3" type="secondRowStripe"/>
    </tableStyle>
    <tableStyle count="3" pivot="0" name="Septiembre-style 13">
      <tableStyleElement dxfId="1" type="headerRow"/>
      <tableStyleElement dxfId="2" type="firstRowStripe"/>
      <tableStyleElement dxfId="3" type="secondRowStripe"/>
    </tableStyle>
    <tableStyle count="3" pivot="0" name="Septiembre-style 14">
      <tableStyleElement dxfId="1" type="headerRow"/>
      <tableStyleElement dxfId="2" type="firstRowStripe"/>
      <tableStyleElement dxfId="3" type="secondRowStripe"/>
    </tableStyle>
    <tableStyle count="3" pivot="0" name="Septiembre-style 15">
      <tableStyleElement dxfId="1" type="headerRow"/>
      <tableStyleElement dxfId="2" type="firstRowStripe"/>
      <tableStyleElement dxfId="3" type="secondRowStripe"/>
    </tableStyle>
    <tableStyle count="3" pivot="0" name="Octubre-style">
      <tableStyleElement dxfId="1" type="headerRow"/>
      <tableStyleElement dxfId="2" type="firstRowStripe"/>
      <tableStyleElement dxfId="3" type="secondRowStripe"/>
    </tableStyle>
    <tableStyle count="3" pivot="0" name="Octubre-style 2">
      <tableStyleElement dxfId="1" type="headerRow"/>
      <tableStyleElement dxfId="2" type="firstRowStripe"/>
      <tableStyleElement dxfId="3" type="secondRowStripe"/>
    </tableStyle>
    <tableStyle count="3" pivot="0" name="Octubre-style 3">
      <tableStyleElement dxfId="1" type="headerRow"/>
      <tableStyleElement dxfId="2" type="firstRowStripe"/>
      <tableStyleElement dxfId="3" type="secondRowStripe"/>
    </tableStyle>
    <tableStyle count="3" pivot="0" name="Octubre-style 4">
      <tableStyleElement dxfId="1" type="headerRow"/>
      <tableStyleElement dxfId="2" type="firstRowStripe"/>
      <tableStyleElement dxfId="3" type="secondRowStripe"/>
    </tableStyle>
    <tableStyle count="3" pivot="0" name="Octubre-style 5">
      <tableStyleElement dxfId="1" type="headerRow"/>
      <tableStyleElement dxfId="2" type="firstRowStripe"/>
      <tableStyleElement dxfId="3" type="secondRowStripe"/>
    </tableStyle>
    <tableStyle count="3" pivot="0" name="Octubre-style 6">
      <tableStyleElement dxfId="1" type="headerRow"/>
      <tableStyleElement dxfId="2" type="firstRowStripe"/>
      <tableStyleElement dxfId="3" type="secondRowStripe"/>
    </tableStyle>
    <tableStyle count="3" pivot="0" name="Octubre-style 7">
      <tableStyleElement dxfId="1" type="headerRow"/>
      <tableStyleElement dxfId="2" type="firstRowStripe"/>
      <tableStyleElement dxfId="3" type="secondRowStripe"/>
    </tableStyle>
    <tableStyle count="3" pivot="0" name="Octubre-style 8">
      <tableStyleElement dxfId="1" type="headerRow"/>
      <tableStyleElement dxfId="2" type="firstRowStripe"/>
      <tableStyleElement dxfId="3" type="secondRowStripe"/>
    </tableStyle>
    <tableStyle count="3" pivot="0" name="Octubre-style 9">
      <tableStyleElement dxfId="1" type="headerRow"/>
      <tableStyleElement dxfId="2" type="firstRowStripe"/>
      <tableStyleElement dxfId="3" type="secondRowStripe"/>
    </tableStyle>
    <tableStyle count="3" pivot="0" name="Octubre-style 10">
      <tableStyleElement dxfId="1" type="headerRow"/>
      <tableStyleElement dxfId="2" type="firstRowStripe"/>
      <tableStyleElement dxfId="3" type="secondRowStripe"/>
    </tableStyle>
    <tableStyle count="3" pivot="0" name="Octubre-style 11">
      <tableStyleElement dxfId="1" type="headerRow"/>
      <tableStyleElement dxfId="2" type="firstRowStripe"/>
      <tableStyleElement dxfId="3" type="secondRowStripe"/>
    </tableStyle>
    <tableStyle count="3" pivot="0" name="Octubre-style 12">
      <tableStyleElement dxfId="1" type="headerRow"/>
      <tableStyleElement dxfId="2" type="firstRowStripe"/>
      <tableStyleElement dxfId="3" type="secondRowStripe"/>
    </tableStyle>
    <tableStyle count="3" pivot="0" name="Octubre-style 13">
      <tableStyleElement dxfId="1" type="headerRow"/>
      <tableStyleElement dxfId="2" type="firstRowStripe"/>
      <tableStyleElement dxfId="3" type="secondRowStripe"/>
    </tableStyle>
    <tableStyle count="3" pivot="0" name="Octubre-style 14">
      <tableStyleElement dxfId="1" type="headerRow"/>
      <tableStyleElement dxfId="2" type="firstRowStripe"/>
      <tableStyleElement dxfId="3" type="secondRowStripe"/>
    </tableStyle>
    <tableStyle count="3" pivot="0" name="Octubre-style 15">
      <tableStyleElement dxfId="1" type="headerRow"/>
      <tableStyleElement dxfId="2" type="firstRowStripe"/>
      <tableStyleElement dxfId="3" type="secondRowStripe"/>
    </tableStyle>
    <tableStyle count="3" pivot="0" name="Noviembre-style">
      <tableStyleElement dxfId="1" type="headerRow"/>
      <tableStyleElement dxfId="2" type="firstRowStripe"/>
      <tableStyleElement dxfId="3" type="secondRowStripe"/>
    </tableStyle>
    <tableStyle count="3" pivot="0" name="Noviembre-style 2">
      <tableStyleElement dxfId="1" type="headerRow"/>
      <tableStyleElement dxfId="2" type="firstRowStripe"/>
      <tableStyleElement dxfId="3" type="secondRowStripe"/>
    </tableStyle>
    <tableStyle count="3" pivot="0" name="Noviembre-style 3">
      <tableStyleElement dxfId="1" type="headerRow"/>
      <tableStyleElement dxfId="2" type="firstRowStripe"/>
      <tableStyleElement dxfId="3" type="secondRowStripe"/>
    </tableStyle>
    <tableStyle count="3" pivot="0" name="Noviembre-style 4">
      <tableStyleElement dxfId="1" type="headerRow"/>
      <tableStyleElement dxfId="2" type="firstRowStripe"/>
      <tableStyleElement dxfId="3" type="secondRowStripe"/>
    </tableStyle>
    <tableStyle count="3" pivot="0" name="Noviembre-style 5">
      <tableStyleElement dxfId="1" type="headerRow"/>
      <tableStyleElement dxfId="2" type="firstRowStripe"/>
      <tableStyleElement dxfId="3" type="secondRowStripe"/>
    </tableStyle>
    <tableStyle count="3" pivot="0" name="Noviembre-style 6">
      <tableStyleElement dxfId="1" type="headerRow"/>
      <tableStyleElement dxfId="2" type="firstRowStripe"/>
      <tableStyleElement dxfId="3" type="secondRowStripe"/>
    </tableStyle>
    <tableStyle count="3" pivot="0" name="Noviembre-style 7">
      <tableStyleElement dxfId="1" type="headerRow"/>
      <tableStyleElement dxfId="2" type="firstRowStripe"/>
      <tableStyleElement dxfId="3" type="secondRowStripe"/>
    </tableStyle>
    <tableStyle count="3" pivot="0" name="Noviembre-style 8">
      <tableStyleElement dxfId="1" type="headerRow"/>
      <tableStyleElement dxfId="2" type="firstRowStripe"/>
      <tableStyleElement dxfId="3" type="secondRowStripe"/>
    </tableStyle>
    <tableStyle count="3" pivot="0" name="Noviembre-style 9">
      <tableStyleElement dxfId="1" type="headerRow"/>
      <tableStyleElement dxfId="2" type="firstRowStripe"/>
      <tableStyleElement dxfId="3" type="secondRowStripe"/>
    </tableStyle>
    <tableStyle count="3" pivot="0" name="Noviembre-style 10">
      <tableStyleElement dxfId="1" type="headerRow"/>
      <tableStyleElement dxfId="2" type="firstRowStripe"/>
      <tableStyleElement dxfId="3" type="secondRowStripe"/>
    </tableStyle>
    <tableStyle count="3" pivot="0" name="Noviembre-style 11">
      <tableStyleElement dxfId="1" type="headerRow"/>
      <tableStyleElement dxfId="2" type="firstRowStripe"/>
      <tableStyleElement dxfId="3" type="secondRowStripe"/>
    </tableStyle>
    <tableStyle count="3" pivot="0" name="Noviembre-style 12">
      <tableStyleElement dxfId="1" type="headerRow"/>
      <tableStyleElement dxfId="2" type="firstRowStripe"/>
      <tableStyleElement dxfId="3" type="secondRowStripe"/>
    </tableStyle>
    <tableStyle count="3" pivot="0" name="Noviembre-style 13">
      <tableStyleElement dxfId="1" type="headerRow"/>
      <tableStyleElement dxfId="2" type="firstRowStripe"/>
      <tableStyleElement dxfId="3" type="secondRowStripe"/>
    </tableStyle>
    <tableStyle count="3" pivot="0" name="Noviembre-style 14">
      <tableStyleElement dxfId="1" type="headerRow"/>
      <tableStyleElement dxfId="2" type="firstRowStripe"/>
      <tableStyleElement dxfId="3" type="secondRowStripe"/>
    </tableStyle>
    <tableStyle count="3" pivot="0" name="Noviembre-style 15">
      <tableStyleElement dxfId="1" type="headerRow"/>
      <tableStyleElement dxfId="2" type="firstRowStripe"/>
      <tableStyleElement dxfId="3" type="secondRowStripe"/>
    </tableStyle>
    <tableStyle count="3" pivot="0" name="Diciembre-style">
      <tableStyleElement dxfId="1" type="headerRow"/>
      <tableStyleElement dxfId="2" type="firstRowStripe"/>
      <tableStyleElement dxfId="3" type="secondRowStripe"/>
    </tableStyle>
    <tableStyle count="3" pivot="0" name="Diciembre-style 2">
      <tableStyleElement dxfId="1" type="headerRow"/>
      <tableStyleElement dxfId="2" type="firstRowStripe"/>
      <tableStyleElement dxfId="3" type="secondRowStripe"/>
    </tableStyle>
    <tableStyle count="3" pivot="0" name="Diciembre-style 3">
      <tableStyleElement dxfId="1" type="headerRow"/>
      <tableStyleElement dxfId="2" type="firstRowStripe"/>
      <tableStyleElement dxfId="3" type="secondRowStripe"/>
    </tableStyle>
    <tableStyle count="3" pivot="0" name="Diciembre-style 4">
      <tableStyleElement dxfId="1" type="headerRow"/>
      <tableStyleElement dxfId="2" type="firstRowStripe"/>
      <tableStyleElement dxfId="3" type="secondRowStripe"/>
    </tableStyle>
    <tableStyle count="3" pivot="0" name="Diciembre-style 5">
      <tableStyleElement dxfId="1" type="headerRow"/>
      <tableStyleElement dxfId="2" type="firstRowStripe"/>
      <tableStyleElement dxfId="3" type="secondRowStripe"/>
    </tableStyle>
    <tableStyle count="3" pivot="0" name="Diciembre-style 6">
      <tableStyleElement dxfId="1" type="headerRow"/>
      <tableStyleElement dxfId="2" type="firstRowStripe"/>
      <tableStyleElement dxfId="3" type="secondRowStripe"/>
    </tableStyle>
    <tableStyle count="3" pivot="0" name="Diciembre-style 7">
      <tableStyleElement dxfId="1" type="headerRow"/>
      <tableStyleElement dxfId="2" type="firstRowStripe"/>
      <tableStyleElement dxfId="3" type="secondRowStripe"/>
    </tableStyle>
    <tableStyle count="3" pivot="0" name="Diciembre-style 8">
      <tableStyleElement dxfId="1" type="headerRow"/>
      <tableStyleElement dxfId="2" type="firstRowStripe"/>
      <tableStyleElement dxfId="3" type="secondRowStripe"/>
    </tableStyle>
    <tableStyle count="3" pivot="0" name="Diciembre-style 9">
      <tableStyleElement dxfId="1" type="headerRow"/>
      <tableStyleElement dxfId="2" type="firstRowStripe"/>
      <tableStyleElement dxfId="3" type="secondRowStripe"/>
    </tableStyle>
    <tableStyle count="3" pivot="0" name="Diciembre-style 10">
      <tableStyleElement dxfId="1" type="headerRow"/>
      <tableStyleElement dxfId="2" type="firstRowStripe"/>
      <tableStyleElement dxfId="3" type="secondRowStripe"/>
    </tableStyle>
    <tableStyle count="3" pivot="0" name="Diciembre-style 11">
      <tableStyleElement dxfId="1" type="headerRow"/>
      <tableStyleElement dxfId="2" type="firstRowStripe"/>
      <tableStyleElement dxfId="3" type="secondRowStripe"/>
    </tableStyle>
    <tableStyle count="3" pivot="0" name="Diciembre-style 12">
      <tableStyleElement dxfId="1" type="headerRow"/>
      <tableStyleElement dxfId="2" type="firstRowStripe"/>
      <tableStyleElement dxfId="3" type="secondRowStripe"/>
    </tableStyle>
    <tableStyle count="3" pivot="0" name="Diciembre-style 13">
      <tableStyleElement dxfId="1" type="headerRow"/>
      <tableStyleElement dxfId="2" type="firstRowStripe"/>
      <tableStyleElement dxfId="3" type="secondRowStripe"/>
    </tableStyle>
    <tableStyle count="3" pivot="0" name="Diciembre-style 14">
      <tableStyleElement dxfId="1" type="headerRow"/>
      <tableStyleElement dxfId="2" type="firstRowStripe"/>
      <tableStyleElement dxfId="3" type="secondRowStripe"/>
    </tableStyle>
    <tableStyle count="3" pivot="0" name="Diciembre-style 1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'TODO EL AÑO'!$D$191:$D$204</c:f>
            </c:strRef>
          </c:cat>
          <c:val>
            <c:numRef>
              <c:f>'TODO EL AÑO'!$E$191:$E$204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Enero!$D$191:$D$204</c:f>
            </c:strRef>
          </c:cat>
          <c:val>
            <c:numRef>
              <c:f>Enero!$E$191:$E$204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Febrero!$D$191:$D$204</c:f>
            </c:strRef>
          </c:cat>
          <c:val>
            <c:numRef>
              <c:f>Febrero!$E$191:$E$204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Marzo!$D$191:$D$204</c:f>
            </c:strRef>
          </c:cat>
          <c:val>
            <c:numRef>
              <c:f>Marzo!$E$191:$E$204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Abril!$D$191:$D$204</c:f>
            </c:strRef>
          </c:cat>
          <c:val>
            <c:numRef>
              <c:f>Abril!$E$191:$E$204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Mayo!$D$191:$D$204</c:f>
            </c:strRef>
          </c:cat>
          <c:val>
            <c:numRef>
              <c:f>Mayo!$E$191:$E$204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Junio!$D$191:$D$204</c:f>
            </c:strRef>
          </c:cat>
          <c:val>
            <c:numRef>
              <c:f>Junio!$E$191:$E$204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Julio!$D$191:$D$204</c:f>
            </c:strRef>
          </c:cat>
          <c:val>
            <c:numRef>
              <c:f>Julio!$E$191:$E$204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Agosto!$D$191:$D$204</c:f>
            </c:strRef>
          </c:cat>
          <c:val>
            <c:numRef>
              <c:f>Agosto!$E$191:$E$204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Septiembre!$D$191:$D$204</c:f>
            </c:strRef>
          </c:cat>
          <c:val>
            <c:numRef>
              <c:f>Septiembre!$E$191:$E$204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Octubre!$D$191:$D$204</c:f>
            </c:strRef>
          </c:cat>
          <c:val>
            <c:numRef>
              <c:f>Octubre!$E$191:$E$204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Noviembre!$D$191:$D$204</c:f>
            </c:strRef>
          </c:cat>
          <c:val>
            <c:numRef>
              <c:f>Noviembre!$E$191:$E$204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2063473922302"/>
          <c:y val="0.12874144830256873"/>
          <c:w val="0.6820101323800993"/>
          <c:h val="0.809654203060683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Diciembre!$D$191:$D$204</c:f>
            </c:strRef>
          </c:cat>
          <c:val>
            <c:numRef>
              <c:f>Diciembre!$E$191:$E$204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76200</xdr:rowOff>
    </xdr:from>
    <xdr:ext cx="4743450" cy="3790950"/>
    <xdr:graphicFrame>
      <xdr:nvGraphicFramePr>
        <xdr:cNvPr id="16911678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3" name="Shape 3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6" name="Shape 6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16071131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9" name="Shape 9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" name="Shape 10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11" name="Shape 11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" name="Shape 12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19920258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13" name="Shape 13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15" name="Shape 15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" name="Shape 16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41095073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17" name="Shape 17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" name="Shape 18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19" name="Shape 19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0" name="Shape 20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30269212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21" name="Shape 21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23" name="Shape 23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4" name="Shape 24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34953414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25" name="Shape 25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6" name="Shape 26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27" name="Shape 27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178600348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29" name="Shape 29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0" name="Shape 30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31" name="Shape 31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107953334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33" name="Shape 33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35" name="Shape 35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6" name="Shape 36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70007465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37" name="Shape 37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8" name="Shape 38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39" name="Shape 39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0" name="Shape 40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45010061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41" name="Shape 41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2" name="Shape 42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43" name="Shape 43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4" name="Shape 44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1664667396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46" name="Shape 46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48" name="Shape 48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9" name="Shape 49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69241762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50" name="Shape 50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1" name="Shape 51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52" name="Shape 52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3" name="Shape 53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188</xdr:row>
      <xdr:rowOff>152400</xdr:rowOff>
    </xdr:from>
    <xdr:ext cx="4352925" cy="3714750"/>
    <xdr:graphicFrame>
      <xdr:nvGraphicFramePr>
        <xdr:cNvPr id="4023216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76200</xdr:colOff>
      <xdr:row>178</xdr:row>
      <xdr:rowOff>76200</xdr:rowOff>
    </xdr:from>
    <xdr:ext cx="1543050" cy="238125"/>
    <xdr:grpSp>
      <xdr:nvGrpSpPr>
        <xdr:cNvPr id="2" name="Shape 2"/>
        <xdr:cNvGrpSpPr/>
      </xdr:nvGrpSpPr>
      <xdr:grpSpPr>
        <a:xfrm>
          <a:off x="4574475" y="3660938"/>
          <a:ext cx="1543050" cy="238125"/>
          <a:chOff x="4574475" y="3660938"/>
          <a:chExt cx="1543050" cy="238125"/>
        </a:xfrm>
      </xdr:grpSpPr>
      <xdr:grpSp>
        <xdr:nvGrpSpPr>
          <xdr:cNvPr id="54" name="Shape 54"/>
          <xdr:cNvGrpSpPr/>
        </xdr:nvGrpSpPr>
        <xdr:grpSpPr>
          <a:xfrm>
            <a:off x="4574475" y="3660938"/>
            <a:ext cx="1543050" cy="238125"/>
            <a:chOff x="4603050" y="3684750"/>
            <a:chExt cx="1485900" cy="190500"/>
          </a:xfrm>
        </xdr:grpSpPr>
        <xdr:sp>
          <xdr:nvSpPr>
            <xdr:cNvPr id="4" name="Shape 4"/>
            <xdr:cNvSpPr/>
          </xdr:nvSpPr>
          <xdr:spPr>
            <a:xfrm>
              <a:off x="4603050" y="3684750"/>
              <a:ext cx="148590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5" name="Shape 55"/>
            <xdr:cNvCxnSpPr/>
          </xdr:nvCxnSpPr>
          <xdr:spPr>
            <a:xfrm flipH="1" rot="10800000">
              <a:off x="4603050" y="3684750"/>
              <a:ext cx="1485900" cy="190500"/>
            </a:xfrm>
            <a:prstGeom prst="straightConnector1">
              <a:avLst/>
            </a:prstGeom>
            <a:noFill/>
            <a:ln cap="flat" cmpd="sng" w="57150">
              <a:solidFill>
                <a:srgbClr val="008000"/>
              </a:solidFill>
              <a:prstDash val="solid"/>
              <a:round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  <xdr:oneCellAnchor>
    <xdr:from>
      <xdr:col>2</xdr:col>
      <xdr:colOff>619125</xdr:colOff>
      <xdr:row>184</xdr:row>
      <xdr:rowOff>161925</xdr:rowOff>
    </xdr:from>
    <xdr:ext cx="2581275" cy="38100"/>
    <xdr:grpSp>
      <xdr:nvGrpSpPr>
        <xdr:cNvPr id="2" name="Shape 2"/>
        <xdr:cNvGrpSpPr/>
      </xdr:nvGrpSpPr>
      <xdr:grpSpPr>
        <a:xfrm>
          <a:off x="4055363" y="3760950"/>
          <a:ext cx="2581275" cy="38100"/>
          <a:chOff x="4055363" y="3760950"/>
          <a:chExt cx="2581275" cy="38100"/>
        </a:xfrm>
      </xdr:grpSpPr>
      <xdr:grpSp>
        <xdr:nvGrpSpPr>
          <xdr:cNvPr id="56" name="Shape 56"/>
          <xdr:cNvGrpSpPr/>
        </xdr:nvGrpSpPr>
        <xdr:grpSpPr>
          <a:xfrm>
            <a:off x="4055363" y="3760950"/>
            <a:ext cx="2581275" cy="38100"/>
            <a:chOff x="4055363" y="3770475"/>
            <a:chExt cx="2581275" cy="19050"/>
          </a:xfrm>
        </xdr:grpSpPr>
        <xdr:sp>
          <xdr:nvSpPr>
            <xdr:cNvPr id="4" name="Shape 4"/>
            <xdr:cNvSpPr/>
          </xdr:nvSpPr>
          <xdr:spPr>
            <a:xfrm>
              <a:off x="4055363" y="3770475"/>
              <a:ext cx="25812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7" name="Shape 57"/>
            <xdr:cNvCxnSpPr/>
          </xdr:nvCxnSpPr>
          <xdr:spPr>
            <a:xfrm>
              <a:off x="4055363" y="3770475"/>
              <a:ext cx="2581275" cy="19050"/>
            </a:xfrm>
            <a:prstGeom prst="straightConnector1">
              <a:avLst/>
            </a:pr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8" name="Shape 8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561975</xdr:colOff>
      <xdr:row>184</xdr:row>
      <xdr:rowOff>38100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533400</xdr:colOff>
      <xdr:row>177</xdr:row>
      <xdr:rowOff>9525</xdr:rowOff>
    </xdr:from>
    <xdr:ext cx="133350" cy="95250"/>
    <xdr:sp>
      <xdr:nvSpPr>
        <xdr:cNvPr id="45" name="Shape 45"/>
        <xdr:cNvSpPr/>
      </xdr:nvSpPr>
      <xdr:spPr>
        <a:xfrm>
          <a:off x="5284088" y="3737138"/>
          <a:ext cx="123825" cy="85725"/>
        </a:xfrm>
        <a:prstGeom prst="mathMinus">
          <a:avLst>
            <a:gd fmla="val 23520" name="adj1"/>
          </a:avLst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 cap="flat" cmpd="sng" w="9525">
          <a:solidFill>
            <a:srgbClr val="BD4B4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H11:AL20" displayName="Table_1" name="Table_1" id="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ref="H28:AL35" displayName="Table_2" name="Table_2" id="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2" showColumnStripes="0" showFirstColumn="1" showLastColumn="1" showRowStripes="1"/>
</table>
</file>

<file path=xl/tables/table3.xml><?xml version="1.0" encoding="utf-8"?>
<table xmlns="http://schemas.openxmlformats.org/spreadsheetml/2006/main" ref="H37:AL43" displayName="Table_3" name="Table_3" id="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3" showColumnStripes="0" showFirstColumn="1" showLastColumn="1" showRowStripes="1"/>
</table>
</file>

<file path=xl/tables/table4.xml><?xml version="1.0" encoding="utf-8"?>
<table xmlns="http://schemas.openxmlformats.org/spreadsheetml/2006/main" ref="H45:AL56" displayName="Table_4" name="Table_4" id="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4" showColumnStripes="0" showFirstColumn="1" showLastColumn="1" showRowStripes="1"/>
</table>
</file>

<file path=xl/tables/table5.xml><?xml version="1.0" encoding="utf-8"?>
<table xmlns="http://schemas.openxmlformats.org/spreadsheetml/2006/main" ref="H58:AL66" displayName="Table_5" name="Table_5" id="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5" showColumnStripes="0" showFirstColumn="1" showLastColumn="1" showRowStripes="1"/>
</table>
</file>

<file path=xl/tables/table6.xml><?xml version="1.0" encoding="utf-8"?>
<table xmlns="http://schemas.openxmlformats.org/spreadsheetml/2006/main" ref="H68:AL75" displayName="Table_6" name="Table_6" id="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6" showColumnStripes="0" showFirstColumn="1" showLastColumn="1" showRowStripes="1"/>
</table>
</file>

<file path=xl/tables/table7.xml><?xml version="1.0" encoding="utf-8"?>
<table xmlns="http://schemas.openxmlformats.org/spreadsheetml/2006/main" ref="H77:AL86" displayName="Table_7" name="Table_7" id="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7" showColumnStripes="0" showFirstColumn="1" showLastColumn="1" showRowStripes="1"/>
</table>
</file>

<file path=xl/tables/table8.xml><?xml version="1.0" encoding="utf-8"?>
<table xmlns="http://schemas.openxmlformats.org/spreadsheetml/2006/main" ref="H88:AL95" displayName="Table_8" name="Table_8" id="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8" showColumnStripes="0" showFirstColumn="1" showLastColumn="1" showRowStripes="1"/>
</table>
</file>

<file path=xl/tables/table9.xml><?xml version="1.0" encoding="utf-8"?>
<table xmlns="http://schemas.openxmlformats.org/spreadsheetml/2006/main" ref="H97:AL105" displayName="Table_9" name="Table_9" id="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9" showColumnStripes="0" showFirstColumn="1" showLastColumn="1" showRowStripes="1"/>
</table>
</file>

<file path=xl/tables/table10.xml><?xml version="1.0" encoding="utf-8"?>
<table xmlns="http://schemas.openxmlformats.org/spreadsheetml/2006/main" ref="H107:AL113" displayName="Table_10" name="Table_10" id="1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0" showColumnStripes="0" showFirstColumn="1" showLastColumn="1" showRowStripes="1"/>
</table>
</file>

<file path=xl/tables/table11.xml><?xml version="1.0" encoding="utf-8"?>
<table xmlns="http://schemas.openxmlformats.org/spreadsheetml/2006/main" ref="H115:AL124" displayName="Table_11" name="Table_11" id="1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1" showColumnStripes="0" showFirstColumn="1" showLastColumn="1" showRowStripes="1"/>
</table>
</file>

<file path=xl/tables/table12.xml><?xml version="1.0" encoding="utf-8"?>
<table xmlns="http://schemas.openxmlformats.org/spreadsheetml/2006/main" ref="H126:AL134" displayName="Table_12" name="Table_12" id="1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2" showColumnStripes="0" showFirstColumn="1" showLastColumn="1" showRowStripes="1"/>
</table>
</file>

<file path=xl/tables/table13.xml><?xml version="1.0" encoding="utf-8"?>
<table xmlns="http://schemas.openxmlformats.org/spreadsheetml/2006/main" ref="H136:AL144" displayName="Table_13" name="Table_13" id="1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3" showColumnStripes="0" showFirstColumn="1" showLastColumn="1" showRowStripes="1"/>
</table>
</file>

<file path=xl/tables/table14.xml><?xml version="1.0" encoding="utf-8"?>
<table xmlns="http://schemas.openxmlformats.org/spreadsheetml/2006/main" ref="H146:AL156" displayName="Table_14" name="Table_14" id="1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4" showColumnStripes="0" showFirstColumn="1" showLastColumn="1" showRowStripes="1"/>
</table>
</file>

<file path=xl/tables/table15.xml><?xml version="1.0" encoding="utf-8"?>
<table xmlns="http://schemas.openxmlformats.org/spreadsheetml/2006/main" ref="H158:AL166" displayName="Table_15" name="Table_15" id="1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Enero-style 15" showColumnStripes="0" showFirstColumn="1" showLastColumn="1" showRowStripes="1"/>
</table>
</file>

<file path=xl/tables/table16.xml><?xml version="1.0" encoding="utf-8"?>
<table xmlns="http://schemas.openxmlformats.org/spreadsheetml/2006/main" ref="H11:AL20" displayName="Table_16" name="Table_16" id="1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" showColumnStripes="0" showFirstColumn="1" showLastColumn="1" showRowStripes="1"/>
</table>
</file>

<file path=xl/tables/table17.xml><?xml version="1.0" encoding="utf-8"?>
<table xmlns="http://schemas.openxmlformats.org/spreadsheetml/2006/main" ref="H28:AL35" displayName="Table_17" name="Table_17" id="1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2" showColumnStripes="0" showFirstColumn="1" showLastColumn="1" showRowStripes="1"/>
</table>
</file>

<file path=xl/tables/table18.xml><?xml version="1.0" encoding="utf-8"?>
<table xmlns="http://schemas.openxmlformats.org/spreadsheetml/2006/main" ref="H37:AL43" displayName="Table_18" name="Table_18" id="1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3" showColumnStripes="0" showFirstColumn="1" showLastColumn="1" showRowStripes="1"/>
</table>
</file>

<file path=xl/tables/table19.xml><?xml version="1.0" encoding="utf-8"?>
<table xmlns="http://schemas.openxmlformats.org/spreadsheetml/2006/main" ref="H45:AL56" displayName="Table_19" name="Table_19" id="1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4" showColumnStripes="0" showFirstColumn="1" showLastColumn="1" showRowStripes="1"/>
</table>
</file>

<file path=xl/tables/table20.xml><?xml version="1.0" encoding="utf-8"?>
<table xmlns="http://schemas.openxmlformats.org/spreadsheetml/2006/main" ref="H58:AL66" displayName="Table_20" name="Table_20" id="2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5" showColumnStripes="0" showFirstColumn="1" showLastColumn="1" showRowStripes="1"/>
</table>
</file>

<file path=xl/tables/table21.xml><?xml version="1.0" encoding="utf-8"?>
<table xmlns="http://schemas.openxmlformats.org/spreadsheetml/2006/main" ref="H68:AL75" displayName="Table_21" name="Table_21" id="2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6" showColumnStripes="0" showFirstColumn="1" showLastColumn="1" showRowStripes="1"/>
</table>
</file>

<file path=xl/tables/table22.xml><?xml version="1.0" encoding="utf-8"?>
<table xmlns="http://schemas.openxmlformats.org/spreadsheetml/2006/main" ref="H77:AL86" displayName="Table_22" name="Table_22" id="2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7" showColumnStripes="0" showFirstColumn="1" showLastColumn="1" showRowStripes="1"/>
</table>
</file>

<file path=xl/tables/table23.xml><?xml version="1.0" encoding="utf-8"?>
<table xmlns="http://schemas.openxmlformats.org/spreadsheetml/2006/main" ref="H88:AL95" displayName="Table_23" name="Table_23" id="2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8" showColumnStripes="0" showFirstColumn="1" showLastColumn="1" showRowStripes="1"/>
</table>
</file>

<file path=xl/tables/table24.xml><?xml version="1.0" encoding="utf-8"?>
<table xmlns="http://schemas.openxmlformats.org/spreadsheetml/2006/main" ref="H97:AL105" displayName="Table_24" name="Table_24" id="2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9" showColumnStripes="0" showFirstColumn="1" showLastColumn="1" showRowStripes="1"/>
</table>
</file>

<file path=xl/tables/table25.xml><?xml version="1.0" encoding="utf-8"?>
<table xmlns="http://schemas.openxmlformats.org/spreadsheetml/2006/main" ref="H107:AL113" displayName="Table_25" name="Table_25" id="2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0" showColumnStripes="0" showFirstColumn="1" showLastColumn="1" showRowStripes="1"/>
</table>
</file>

<file path=xl/tables/table26.xml><?xml version="1.0" encoding="utf-8"?>
<table xmlns="http://schemas.openxmlformats.org/spreadsheetml/2006/main" ref="H115:AL124" displayName="Table_26" name="Table_26" id="2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1" showColumnStripes="0" showFirstColumn="1" showLastColumn="1" showRowStripes="1"/>
</table>
</file>

<file path=xl/tables/table27.xml><?xml version="1.0" encoding="utf-8"?>
<table xmlns="http://schemas.openxmlformats.org/spreadsheetml/2006/main" ref="H126:AL134" displayName="Table_27" name="Table_27" id="2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2" showColumnStripes="0" showFirstColumn="1" showLastColumn="1" showRowStripes="1"/>
</table>
</file>

<file path=xl/tables/table28.xml><?xml version="1.0" encoding="utf-8"?>
<table xmlns="http://schemas.openxmlformats.org/spreadsheetml/2006/main" ref="H136:AL144" displayName="Table_28" name="Table_28" id="2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3" showColumnStripes="0" showFirstColumn="1" showLastColumn="1" showRowStripes="1"/>
</table>
</file>

<file path=xl/tables/table29.xml><?xml version="1.0" encoding="utf-8"?>
<table xmlns="http://schemas.openxmlformats.org/spreadsheetml/2006/main" ref="H146:AL156" displayName="Table_29" name="Table_29" id="2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4" showColumnStripes="0" showFirstColumn="1" showLastColumn="1" showRowStripes="1"/>
</table>
</file>

<file path=xl/tables/table30.xml><?xml version="1.0" encoding="utf-8"?>
<table xmlns="http://schemas.openxmlformats.org/spreadsheetml/2006/main" ref="H158:AL166" displayName="Table_30" name="Table_30" id="3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Febrero-style 15" showColumnStripes="0" showFirstColumn="1" showLastColumn="1" showRowStripes="1"/>
</table>
</file>

<file path=xl/tables/table31.xml><?xml version="1.0" encoding="utf-8"?>
<table xmlns="http://schemas.openxmlformats.org/spreadsheetml/2006/main" ref="H11:AL20" displayName="Table_31" name="Table_31" id="3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" showColumnStripes="0" showFirstColumn="1" showLastColumn="1" showRowStripes="1"/>
</table>
</file>

<file path=xl/tables/table32.xml><?xml version="1.0" encoding="utf-8"?>
<table xmlns="http://schemas.openxmlformats.org/spreadsheetml/2006/main" ref="H28:AL35" displayName="Table_32" name="Table_32" id="3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2" showColumnStripes="0" showFirstColumn="1" showLastColumn="1" showRowStripes="1"/>
</table>
</file>

<file path=xl/tables/table33.xml><?xml version="1.0" encoding="utf-8"?>
<table xmlns="http://schemas.openxmlformats.org/spreadsheetml/2006/main" ref="H37:AL43" displayName="Table_33" name="Table_33" id="3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3" showColumnStripes="0" showFirstColumn="1" showLastColumn="1" showRowStripes="1"/>
</table>
</file>

<file path=xl/tables/table34.xml><?xml version="1.0" encoding="utf-8"?>
<table xmlns="http://schemas.openxmlformats.org/spreadsheetml/2006/main" ref="H45:AL56" displayName="Table_34" name="Table_34" id="3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4" showColumnStripes="0" showFirstColumn="1" showLastColumn="1" showRowStripes="1"/>
</table>
</file>

<file path=xl/tables/table35.xml><?xml version="1.0" encoding="utf-8"?>
<table xmlns="http://schemas.openxmlformats.org/spreadsheetml/2006/main" ref="H58:AL66" displayName="Table_35" name="Table_35" id="3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5" showColumnStripes="0" showFirstColumn="1" showLastColumn="1" showRowStripes="1"/>
</table>
</file>

<file path=xl/tables/table36.xml><?xml version="1.0" encoding="utf-8"?>
<table xmlns="http://schemas.openxmlformats.org/spreadsheetml/2006/main" ref="H68:AL75" displayName="Table_36" name="Table_36" id="3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6" showColumnStripes="0" showFirstColumn="1" showLastColumn="1" showRowStripes="1"/>
</table>
</file>

<file path=xl/tables/table37.xml><?xml version="1.0" encoding="utf-8"?>
<table xmlns="http://schemas.openxmlformats.org/spreadsheetml/2006/main" ref="H77:AL86" displayName="Table_37" name="Table_37" id="3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7" showColumnStripes="0" showFirstColumn="1" showLastColumn="1" showRowStripes="1"/>
</table>
</file>

<file path=xl/tables/table38.xml><?xml version="1.0" encoding="utf-8"?>
<table xmlns="http://schemas.openxmlformats.org/spreadsheetml/2006/main" ref="H88:AL95" displayName="Table_38" name="Table_38" id="3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8" showColumnStripes="0" showFirstColumn="1" showLastColumn="1" showRowStripes="1"/>
</table>
</file>

<file path=xl/tables/table39.xml><?xml version="1.0" encoding="utf-8"?>
<table xmlns="http://schemas.openxmlformats.org/spreadsheetml/2006/main" ref="H97:AL105" displayName="Table_39" name="Table_39" id="3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9" showColumnStripes="0" showFirstColumn="1" showLastColumn="1" showRowStripes="1"/>
</table>
</file>

<file path=xl/tables/table40.xml><?xml version="1.0" encoding="utf-8"?>
<table xmlns="http://schemas.openxmlformats.org/spreadsheetml/2006/main" ref="H107:AL113" displayName="Table_40" name="Table_40" id="4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0" showColumnStripes="0" showFirstColumn="1" showLastColumn="1" showRowStripes="1"/>
</table>
</file>

<file path=xl/tables/table41.xml><?xml version="1.0" encoding="utf-8"?>
<table xmlns="http://schemas.openxmlformats.org/spreadsheetml/2006/main" ref="H115:AL124" displayName="Table_41" name="Table_41" id="4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1" showColumnStripes="0" showFirstColumn="1" showLastColumn="1" showRowStripes="1"/>
</table>
</file>

<file path=xl/tables/table42.xml><?xml version="1.0" encoding="utf-8"?>
<table xmlns="http://schemas.openxmlformats.org/spreadsheetml/2006/main" ref="H126:AL134" displayName="Table_42" name="Table_42" id="4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2" showColumnStripes="0" showFirstColumn="1" showLastColumn="1" showRowStripes="1"/>
</table>
</file>

<file path=xl/tables/table43.xml><?xml version="1.0" encoding="utf-8"?>
<table xmlns="http://schemas.openxmlformats.org/spreadsheetml/2006/main" ref="H136:AL144" displayName="Table_43" name="Table_43" id="4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3" showColumnStripes="0" showFirstColumn="1" showLastColumn="1" showRowStripes="1"/>
</table>
</file>

<file path=xl/tables/table44.xml><?xml version="1.0" encoding="utf-8"?>
<table xmlns="http://schemas.openxmlformats.org/spreadsheetml/2006/main" ref="H146:AL156" displayName="Table_44" name="Table_44" id="4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4" showColumnStripes="0" showFirstColumn="1" showLastColumn="1" showRowStripes="1"/>
</table>
</file>

<file path=xl/tables/table45.xml><?xml version="1.0" encoding="utf-8"?>
<table xmlns="http://schemas.openxmlformats.org/spreadsheetml/2006/main" ref="H158:AL166" displayName="Table_45" name="Table_45" id="4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rzo-style 15" showColumnStripes="0" showFirstColumn="1" showLastColumn="1" showRowStripes="1"/>
</table>
</file>

<file path=xl/tables/table46.xml><?xml version="1.0" encoding="utf-8"?>
<table xmlns="http://schemas.openxmlformats.org/spreadsheetml/2006/main" ref="H11:AL20" displayName="Table_46" name="Table_46" id="4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" showColumnStripes="0" showFirstColumn="1" showLastColumn="1" showRowStripes="1"/>
</table>
</file>

<file path=xl/tables/table47.xml><?xml version="1.0" encoding="utf-8"?>
<table xmlns="http://schemas.openxmlformats.org/spreadsheetml/2006/main" ref="H28:AL35" displayName="Table_47" name="Table_47" id="4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2" showColumnStripes="0" showFirstColumn="1" showLastColumn="1" showRowStripes="1"/>
</table>
</file>

<file path=xl/tables/table48.xml><?xml version="1.0" encoding="utf-8"?>
<table xmlns="http://schemas.openxmlformats.org/spreadsheetml/2006/main" ref="H37:AL43" displayName="Table_48" name="Table_48" id="4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3" showColumnStripes="0" showFirstColumn="1" showLastColumn="1" showRowStripes="1"/>
</table>
</file>

<file path=xl/tables/table49.xml><?xml version="1.0" encoding="utf-8"?>
<table xmlns="http://schemas.openxmlformats.org/spreadsheetml/2006/main" ref="H45:AL56" displayName="Table_49" name="Table_49" id="4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4" showColumnStripes="0" showFirstColumn="1" showLastColumn="1" showRowStripes="1"/>
</table>
</file>

<file path=xl/tables/table50.xml><?xml version="1.0" encoding="utf-8"?>
<table xmlns="http://schemas.openxmlformats.org/spreadsheetml/2006/main" ref="H58:AL66" displayName="Table_50" name="Table_50" id="5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5" showColumnStripes="0" showFirstColumn="1" showLastColumn="1" showRowStripes="1"/>
</table>
</file>

<file path=xl/tables/table51.xml><?xml version="1.0" encoding="utf-8"?>
<table xmlns="http://schemas.openxmlformats.org/spreadsheetml/2006/main" ref="H68:AL75" displayName="Table_51" name="Table_51" id="5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6" showColumnStripes="0" showFirstColumn="1" showLastColumn="1" showRowStripes="1"/>
</table>
</file>

<file path=xl/tables/table52.xml><?xml version="1.0" encoding="utf-8"?>
<table xmlns="http://schemas.openxmlformats.org/spreadsheetml/2006/main" ref="H77:AL86" displayName="Table_52" name="Table_52" id="5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7" showColumnStripes="0" showFirstColumn="1" showLastColumn="1" showRowStripes="1"/>
</table>
</file>

<file path=xl/tables/table53.xml><?xml version="1.0" encoding="utf-8"?>
<table xmlns="http://schemas.openxmlformats.org/spreadsheetml/2006/main" ref="H88:AL95" displayName="Table_53" name="Table_53" id="5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8" showColumnStripes="0" showFirstColumn="1" showLastColumn="1" showRowStripes="1"/>
</table>
</file>

<file path=xl/tables/table54.xml><?xml version="1.0" encoding="utf-8"?>
<table xmlns="http://schemas.openxmlformats.org/spreadsheetml/2006/main" ref="H97:AL105" displayName="Table_54" name="Table_54" id="5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9" showColumnStripes="0" showFirstColumn="1" showLastColumn="1" showRowStripes="1"/>
</table>
</file>

<file path=xl/tables/table55.xml><?xml version="1.0" encoding="utf-8"?>
<table xmlns="http://schemas.openxmlformats.org/spreadsheetml/2006/main" ref="H107:AL113" displayName="Table_55" name="Table_55" id="5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0" showColumnStripes="0" showFirstColumn="1" showLastColumn="1" showRowStripes="1"/>
</table>
</file>

<file path=xl/tables/table56.xml><?xml version="1.0" encoding="utf-8"?>
<table xmlns="http://schemas.openxmlformats.org/spreadsheetml/2006/main" ref="H115:AL124" displayName="Table_56" name="Table_56" id="5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1" showColumnStripes="0" showFirstColumn="1" showLastColumn="1" showRowStripes="1"/>
</table>
</file>

<file path=xl/tables/table57.xml><?xml version="1.0" encoding="utf-8"?>
<table xmlns="http://schemas.openxmlformats.org/spreadsheetml/2006/main" ref="H126:AL134" displayName="Table_57" name="Table_57" id="5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2" showColumnStripes="0" showFirstColumn="1" showLastColumn="1" showRowStripes="1"/>
</table>
</file>

<file path=xl/tables/table58.xml><?xml version="1.0" encoding="utf-8"?>
<table xmlns="http://schemas.openxmlformats.org/spreadsheetml/2006/main" ref="H136:AL144" displayName="Table_58" name="Table_58" id="5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3" showColumnStripes="0" showFirstColumn="1" showLastColumn="1" showRowStripes="1"/>
</table>
</file>

<file path=xl/tables/table59.xml><?xml version="1.0" encoding="utf-8"?>
<table xmlns="http://schemas.openxmlformats.org/spreadsheetml/2006/main" ref="H146:AL156" displayName="Table_59" name="Table_59" id="5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4" showColumnStripes="0" showFirstColumn="1" showLastColumn="1" showRowStripes="1"/>
</table>
</file>

<file path=xl/tables/table60.xml><?xml version="1.0" encoding="utf-8"?>
<table xmlns="http://schemas.openxmlformats.org/spreadsheetml/2006/main" ref="H158:AL166" displayName="Table_60" name="Table_60" id="6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bril-style 15" showColumnStripes="0" showFirstColumn="1" showLastColumn="1" showRowStripes="1"/>
</table>
</file>

<file path=xl/tables/table61.xml><?xml version="1.0" encoding="utf-8"?>
<table xmlns="http://schemas.openxmlformats.org/spreadsheetml/2006/main" ref="H11:AL20" displayName="Table_61" name="Table_61" id="6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" showColumnStripes="0" showFirstColumn="1" showLastColumn="1" showRowStripes="1"/>
</table>
</file>

<file path=xl/tables/table62.xml><?xml version="1.0" encoding="utf-8"?>
<table xmlns="http://schemas.openxmlformats.org/spreadsheetml/2006/main" ref="H28:AL35" displayName="Table_62" name="Table_62" id="6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2" showColumnStripes="0" showFirstColumn="1" showLastColumn="1" showRowStripes="1"/>
</table>
</file>

<file path=xl/tables/table63.xml><?xml version="1.0" encoding="utf-8"?>
<table xmlns="http://schemas.openxmlformats.org/spreadsheetml/2006/main" ref="H37:AL43" displayName="Table_63" name="Table_63" id="6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3" showColumnStripes="0" showFirstColumn="1" showLastColumn="1" showRowStripes="1"/>
</table>
</file>

<file path=xl/tables/table64.xml><?xml version="1.0" encoding="utf-8"?>
<table xmlns="http://schemas.openxmlformats.org/spreadsheetml/2006/main" ref="H45:AL56" displayName="Table_64" name="Table_64" id="6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4" showColumnStripes="0" showFirstColumn="1" showLastColumn="1" showRowStripes="1"/>
</table>
</file>

<file path=xl/tables/table65.xml><?xml version="1.0" encoding="utf-8"?>
<table xmlns="http://schemas.openxmlformats.org/spreadsheetml/2006/main" ref="H58:AL66" displayName="Table_65" name="Table_65" id="6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5" showColumnStripes="0" showFirstColumn="1" showLastColumn="1" showRowStripes="1"/>
</table>
</file>

<file path=xl/tables/table66.xml><?xml version="1.0" encoding="utf-8"?>
<table xmlns="http://schemas.openxmlformats.org/spreadsheetml/2006/main" ref="H68:AL75" displayName="Table_66" name="Table_66" id="6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6" showColumnStripes="0" showFirstColumn="1" showLastColumn="1" showRowStripes="1"/>
</table>
</file>

<file path=xl/tables/table67.xml><?xml version="1.0" encoding="utf-8"?>
<table xmlns="http://schemas.openxmlformats.org/spreadsheetml/2006/main" ref="H77:AL86" displayName="Table_67" name="Table_67" id="6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7" showColumnStripes="0" showFirstColumn="1" showLastColumn="1" showRowStripes="1"/>
</table>
</file>

<file path=xl/tables/table68.xml><?xml version="1.0" encoding="utf-8"?>
<table xmlns="http://schemas.openxmlformats.org/spreadsheetml/2006/main" ref="H88:AL95" displayName="Table_68" name="Table_68" id="6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8" showColumnStripes="0" showFirstColumn="1" showLastColumn="1" showRowStripes="1"/>
</table>
</file>

<file path=xl/tables/table69.xml><?xml version="1.0" encoding="utf-8"?>
<table xmlns="http://schemas.openxmlformats.org/spreadsheetml/2006/main" ref="H97:AL105" displayName="Table_69" name="Table_69" id="6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9" showColumnStripes="0" showFirstColumn="1" showLastColumn="1" showRowStripes="1"/>
</table>
</file>

<file path=xl/tables/table70.xml><?xml version="1.0" encoding="utf-8"?>
<table xmlns="http://schemas.openxmlformats.org/spreadsheetml/2006/main" ref="H107:AL113" displayName="Table_70" name="Table_70" id="7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0" showColumnStripes="0" showFirstColumn="1" showLastColumn="1" showRowStripes="1"/>
</table>
</file>

<file path=xl/tables/table71.xml><?xml version="1.0" encoding="utf-8"?>
<table xmlns="http://schemas.openxmlformats.org/spreadsheetml/2006/main" ref="H115:AL124" displayName="Table_71" name="Table_71" id="7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1" showColumnStripes="0" showFirstColumn="1" showLastColumn="1" showRowStripes="1"/>
</table>
</file>

<file path=xl/tables/table72.xml><?xml version="1.0" encoding="utf-8"?>
<table xmlns="http://schemas.openxmlformats.org/spreadsheetml/2006/main" ref="H126:AL134" displayName="Table_72" name="Table_72" id="7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2" showColumnStripes="0" showFirstColumn="1" showLastColumn="1" showRowStripes="1"/>
</table>
</file>

<file path=xl/tables/table73.xml><?xml version="1.0" encoding="utf-8"?>
<table xmlns="http://schemas.openxmlformats.org/spreadsheetml/2006/main" ref="H136:AL144" displayName="Table_73" name="Table_73" id="7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3" showColumnStripes="0" showFirstColumn="1" showLastColumn="1" showRowStripes="1"/>
</table>
</file>

<file path=xl/tables/table74.xml><?xml version="1.0" encoding="utf-8"?>
<table xmlns="http://schemas.openxmlformats.org/spreadsheetml/2006/main" ref="H146:AL156" displayName="Table_74" name="Table_74" id="7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4" showColumnStripes="0" showFirstColumn="1" showLastColumn="1" showRowStripes="1"/>
</table>
</file>

<file path=xl/tables/table75.xml><?xml version="1.0" encoding="utf-8"?>
<table xmlns="http://schemas.openxmlformats.org/spreadsheetml/2006/main" ref="H158:AL166" displayName="Table_75" name="Table_75" id="7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Mayo-style 15" showColumnStripes="0" showFirstColumn="1" showLastColumn="1" showRowStripes="1"/>
</table>
</file>

<file path=xl/tables/table76.xml><?xml version="1.0" encoding="utf-8"?>
<table xmlns="http://schemas.openxmlformats.org/spreadsheetml/2006/main" ref="H11:AL20" displayName="Table_76" name="Table_76" id="7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" showColumnStripes="0" showFirstColumn="1" showLastColumn="1" showRowStripes="1"/>
</table>
</file>

<file path=xl/tables/table77.xml><?xml version="1.0" encoding="utf-8"?>
<table xmlns="http://schemas.openxmlformats.org/spreadsheetml/2006/main" ref="H28:AL35" displayName="Table_77" name="Table_77" id="7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2" showColumnStripes="0" showFirstColumn="1" showLastColumn="1" showRowStripes="1"/>
</table>
</file>

<file path=xl/tables/table78.xml><?xml version="1.0" encoding="utf-8"?>
<table xmlns="http://schemas.openxmlformats.org/spreadsheetml/2006/main" ref="H37:AL43" displayName="Table_78" name="Table_78" id="7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3" showColumnStripes="0" showFirstColumn="1" showLastColumn="1" showRowStripes="1"/>
</table>
</file>

<file path=xl/tables/table79.xml><?xml version="1.0" encoding="utf-8"?>
<table xmlns="http://schemas.openxmlformats.org/spreadsheetml/2006/main" ref="H45:AL56" displayName="Table_79" name="Table_79" id="7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4" showColumnStripes="0" showFirstColumn="1" showLastColumn="1" showRowStripes="1"/>
</table>
</file>

<file path=xl/tables/table80.xml><?xml version="1.0" encoding="utf-8"?>
<table xmlns="http://schemas.openxmlformats.org/spreadsheetml/2006/main" ref="H58:AL66" displayName="Table_80" name="Table_80" id="8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5" showColumnStripes="0" showFirstColumn="1" showLastColumn="1" showRowStripes="1"/>
</table>
</file>

<file path=xl/tables/table81.xml><?xml version="1.0" encoding="utf-8"?>
<table xmlns="http://schemas.openxmlformats.org/spreadsheetml/2006/main" ref="H68:AL75" displayName="Table_81" name="Table_81" id="8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6" showColumnStripes="0" showFirstColumn="1" showLastColumn="1" showRowStripes="1"/>
</table>
</file>

<file path=xl/tables/table82.xml><?xml version="1.0" encoding="utf-8"?>
<table xmlns="http://schemas.openxmlformats.org/spreadsheetml/2006/main" ref="H77:AL86" displayName="Table_82" name="Table_82" id="8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7" showColumnStripes="0" showFirstColumn="1" showLastColumn="1" showRowStripes="1"/>
</table>
</file>

<file path=xl/tables/table83.xml><?xml version="1.0" encoding="utf-8"?>
<table xmlns="http://schemas.openxmlformats.org/spreadsheetml/2006/main" ref="H88:AL95" displayName="Table_83" name="Table_83" id="8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8" showColumnStripes="0" showFirstColumn="1" showLastColumn="1" showRowStripes="1"/>
</table>
</file>

<file path=xl/tables/table84.xml><?xml version="1.0" encoding="utf-8"?>
<table xmlns="http://schemas.openxmlformats.org/spreadsheetml/2006/main" ref="H97:AL105" displayName="Table_84" name="Table_84" id="8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9" showColumnStripes="0" showFirstColumn="1" showLastColumn="1" showRowStripes="1"/>
</table>
</file>

<file path=xl/tables/table85.xml><?xml version="1.0" encoding="utf-8"?>
<table xmlns="http://schemas.openxmlformats.org/spreadsheetml/2006/main" ref="H107:AL113" displayName="Table_85" name="Table_85" id="8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0" showColumnStripes="0" showFirstColumn="1" showLastColumn="1" showRowStripes="1"/>
</table>
</file>

<file path=xl/tables/table86.xml><?xml version="1.0" encoding="utf-8"?>
<table xmlns="http://schemas.openxmlformats.org/spreadsheetml/2006/main" ref="H115:AL124" displayName="Table_86" name="Table_86" id="8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1" showColumnStripes="0" showFirstColumn="1" showLastColumn="1" showRowStripes="1"/>
</table>
</file>

<file path=xl/tables/table87.xml><?xml version="1.0" encoding="utf-8"?>
<table xmlns="http://schemas.openxmlformats.org/spreadsheetml/2006/main" ref="H126:AL134" displayName="Table_87" name="Table_87" id="8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2" showColumnStripes="0" showFirstColumn="1" showLastColumn="1" showRowStripes="1"/>
</table>
</file>

<file path=xl/tables/table88.xml><?xml version="1.0" encoding="utf-8"?>
<table xmlns="http://schemas.openxmlformats.org/spreadsheetml/2006/main" ref="H136:AL144" displayName="Table_88" name="Table_88" id="8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3" showColumnStripes="0" showFirstColumn="1" showLastColumn="1" showRowStripes="1"/>
</table>
</file>

<file path=xl/tables/table89.xml><?xml version="1.0" encoding="utf-8"?>
<table xmlns="http://schemas.openxmlformats.org/spreadsheetml/2006/main" ref="H146:AL156" displayName="Table_89" name="Table_89" id="8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4" showColumnStripes="0" showFirstColumn="1" showLastColumn="1" showRowStripes="1"/>
</table>
</file>

<file path=xl/tables/table90.xml><?xml version="1.0" encoding="utf-8"?>
<table xmlns="http://schemas.openxmlformats.org/spreadsheetml/2006/main" ref="H158:AL166" displayName="Table_90" name="Table_90" id="9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nio-style 15" showColumnStripes="0" showFirstColumn="1" showLastColumn="1" showRowStripes="1"/>
</table>
</file>

<file path=xl/tables/table91.xml><?xml version="1.0" encoding="utf-8"?>
<table xmlns="http://schemas.openxmlformats.org/spreadsheetml/2006/main" ref="H11:AL20" displayName="Table_91" name="Table_91" id="9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" showColumnStripes="0" showFirstColumn="1" showLastColumn="1" showRowStripes="1"/>
</table>
</file>

<file path=xl/tables/table92.xml><?xml version="1.0" encoding="utf-8"?>
<table xmlns="http://schemas.openxmlformats.org/spreadsheetml/2006/main" ref="H28:AL35" displayName="Table_92" name="Table_92" id="9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2" showColumnStripes="0" showFirstColumn="1" showLastColumn="1" showRowStripes="1"/>
</table>
</file>

<file path=xl/tables/table93.xml><?xml version="1.0" encoding="utf-8"?>
<table xmlns="http://schemas.openxmlformats.org/spreadsheetml/2006/main" ref="H37:AL43" displayName="Table_93" name="Table_93" id="9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3" showColumnStripes="0" showFirstColumn="1" showLastColumn="1" showRowStripes="1"/>
</table>
</file>

<file path=xl/tables/table94.xml><?xml version="1.0" encoding="utf-8"?>
<table xmlns="http://schemas.openxmlformats.org/spreadsheetml/2006/main" ref="H45:AL56" displayName="Table_94" name="Table_94" id="9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4" showColumnStripes="0" showFirstColumn="1" showLastColumn="1" showRowStripes="1"/>
</table>
</file>

<file path=xl/tables/table95.xml><?xml version="1.0" encoding="utf-8"?>
<table xmlns="http://schemas.openxmlformats.org/spreadsheetml/2006/main" ref="H58:AL66" displayName="Table_95" name="Table_95" id="9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5" showColumnStripes="0" showFirstColumn="1" showLastColumn="1" showRowStripes="1"/>
</table>
</file>

<file path=xl/tables/table96.xml><?xml version="1.0" encoding="utf-8"?>
<table xmlns="http://schemas.openxmlformats.org/spreadsheetml/2006/main" ref="H68:AL75" displayName="Table_96" name="Table_96" id="9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6" showColumnStripes="0" showFirstColumn="1" showLastColumn="1" showRowStripes="1"/>
</table>
</file>

<file path=xl/tables/table97.xml><?xml version="1.0" encoding="utf-8"?>
<table xmlns="http://schemas.openxmlformats.org/spreadsheetml/2006/main" ref="H77:AL86" displayName="Table_97" name="Table_97" id="9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7" showColumnStripes="0" showFirstColumn="1" showLastColumn="1" showRowStripes="1"/>
</table>
</file>

<file path=xl/tables/table98.xml><?xml version="1.0" encoding="utf-8"?>
<table xmlns="http://schemas.openxmlformats.org/spreadsheetml/2006/main" ref="H88:AL95" displayName="Table_98" name="Table_98" id="9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8" showColumnStripes="0" showFirstColumn="1" showLastColumn="1" showRowStripes="1"/>
</table>
</file>

<file path=xl/tables/table99.xml><?xml version="1.0" encoding="utf-8"?>
<table xmlns="http://schemas.openxmlformats.org/spreadsheetml/2006/main" ref="H97:AL105" displayName="Table_99" name="Table_99" id="9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9" showColumnStripes="0" showFirstColumn="1" showLastColumn="1" showRowStripes="1"/>
</table>
</file>

<file path=xl/tables/table100.xml><?xml version="1.0" encoding="utf-8"?>
<table xmlns="http://schemas.openxmlformats.org/spreadsheetml/2006/main" ref="H107:AL113" displayName="Table_100" name="Table_100" id="10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0" showColumnStripes="0" showFirstColumn="1" showLastColumn="1" showRowStripes="1"/>
</table>
</file>

<file path=xl/tables/table101.xml><?xml version="1.0" encoding="utf-8"?>
<table xmlns="http://schemas.openxmlformats.org/spreadsheetml/2006/main" ref="H115:AL124" displayName="Table_101" name="Table_101" id="10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1" showColumnStripes="0" showFirstColumn="1" showLastColumn="1" showRowStripes="1"/>
</table>
</file>

<file path=xl/tables/table102.xml><?xml version="1.0" encoding="utf-8"?>
<table xmlns="http://schemas.openxmlformats.org/spreadsheetml/2006/main" ref="H126:AL134" displayName="Table_102" name="Table_102" id="10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2" showColumnStripes="0" showFirstColumn="1" showLastColumn="1" showRowStripes="1"/>
</table>
</file>

<file path=xl/tables/table103.xml><?xml version="1.0" encoding="utf-8"?>
<table xmlns="http://schemas.openxmlformats.org/spreadsheetml/2006/main" ref="H136:AL144" displayName="Table_103" name="Table_103" id="10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3" showColumnStripes="0" showFirstColumn="1" showLastColumn="1" showRowStripes="1"/>
</table>
</file>

<file path=xl/tables/table104.xml><?xml version="1.0" encoding="utf-8"?>
<table xmlns="http://schemas.openxmlformats.org/spreadsheetml/2006/main" ref="H146:AL156" displayName="Table_104" name="Table_104" id="10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4" showColumnStripes="0" showFirstColumn="1" showLastColumn="1" showRowStripes="1"/>
</table>
</file>

<file path=xl/tables/table105.xml><?xml version="1.0" encoding="utf-8"?>
<table xmlns="http://schemas.openxmlformats.org/spreadsheetml/2006/main" ref="H158:AL166" displayName="Table_105" name="Table_105" id="10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Julio-style 15" showColumnStripes="0" showFirstColumn="1" showLastColumn="1" showRowStripes="1"/>
</table>
</file>

<file path=xl/tables/table106.xml><?xml version="1.0" encoding="utf-8"?>
<table xmlns="http://schemas.openxmlformats.org/spreadsheetml/2006/main" ref="H11:AL20" displayName="Table_106" name="Table_106" id="10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" showColumnStripes="0" showFirstColumn="1" showLastColumn="1" showRowStripes="1"/>
</table>
</file>

<file path=xl/tables/table107.xml><?xml version="1.0" encoding="utf-8"?>
<table xmlns="http://schemas.openxmlformats.org/spreadsheetml/2006/main" ref="H28:AL35" displayName="Table_107" name="Table_107" id="10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2" showColumnStripes="0" showFirstColumn="1" showLastColumn="1" showRowStripes="1"/>
</table>
</file>

<file path=xl/tables/table108.xml><?xml version="1.0" encoding="utf-8"?>
<table xmlns="http://schemas.openxmlformats.org/spreadsheetml/2006/main" ref="H37:AL43" displayName="Table_108" name="Table_108" id="10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3" showColumnStripes="0" showFirstColumn="1" showLastColumn="1" showRowStripes="1"/>
</table>
</file>

<file path=xl/tables/table109.xml><?xml version="1.0" encoding="utf-8"?>
<table xmlns="http://schemas.openxmlformats.org/spreadsheetml/2006/main" ref="H45:AL56" displayName="Table_109" name="Table_109" id="10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4" showColumnStripes="0" showFirstColumn="1" showLastColumn="1" showRowStripes="1"/>
</table>
</file>

<file path=xl/tables/table110.xml><?xml version="1.0" encoding="utf-8"?>
<table xmlns="http://schemas.openxmlformats.org/spreadsheetml/2006/main" ref="H58:AL66" displayName="Table_110" name="Table_110" id="11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5" showColumnStripes="0" showFirstColumn="1" showLastColumn="1" showRowStripes="1"/>
</table>
</file>

<file path=xl/tables/table111.xml><?xml version="1.0" encoding="utf-8"?>
<table xmlns="http://schemas.openxmlformats.org/spreadsheetml/2006/main" ref="H68:AL75" displayName="Table_111" name="Table_111" id="11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6" showColumnStripes="0" showFirstColumn="1" showLastColumn="1" showRowStripes="1"/>
</table>
</file>

<file path=xl/tables/table112.xml><?xml version="1.0" encoding="utf-8"?>
<table xmlns="http://schemas.openxmlformats.org/spreadsheetml/2006/main" ref="H77:AL86" displayName="Table_112" name="Table_112" id="11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7" showColumnStripes="0" showFirstColumn="1" showLastColumn="1" showRowStripes="1"/>
</table>
</file>

<file path=xl/tables/table113.xml><?xml version="1.0" encoding="utf-8"?>
<table xmlns="http://schemas.openxmlformats.org/spreadsheetml/2006/main" ref="H88:AL95" displayName="Table_113" name="Table_113" id="11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8" showColumnStripes="0" showFirstColumn="1" showLastColumn="1" showRowStripes="1"/>
</table>
</file>

<file path=xl/tables/table114.xml><?xml version="1.0" encoding="utf-8"?>
<table xmlns="http://schemas.openxmlformats.org/spreadsheetml/2006/main" ref="H97:AL105" displayName="Table_114" name="Table_114" id="11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9" showColumnStripes="0" showFirstColumn="1" showLastColumn="1" showRowStripes="1"/>
</table>
</file>

<file path=xl/tables/table115.xml><?xml version="1.0" encoding="utf-8"?>
<table xmlns="http://schemas.openxmlformats.org/spreadsheetml/2006/main" ref="H107:AL113" displayName="Table_115" name="Table_115" id="11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0" showColumnStripes="0" showFirstColumn="1" showLastColumn="1" showRowStripes="1"/>
</table>
</file>

<file path=xl/tables/table116.xml><?xml version="1.0" encoding="utf-8"?>
<table xmlns="http://schemas.openxmlformats.org/spreadsheetml/2006/main" ref="H115:AL124" displayName="Table_116" name="Table_116" id="11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1" showColumnStripes="0" showFirstColumn="1" showLastColumn="1" showRowStripes="1"/>
</table>
</file>

<file path=xl/tables/table117.xml><?xml version="1.0" encoding="utf-8"?>
<table xmlns="http://schemas.openxmlformats.org/spreadsheetml/2006/main" ref="H126:AL134" displayName="Table_117" name="Table_117" id="11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2" showColumnStripes="0" showFirstColumn="1" showLastColumn="1" showRowStripes="1"/>
</table>
</file>

<file path=xl/tables/table118.xml><?xml version="1.0" encoding="utf-8"?>
<table xmlns="http://schemas.openxmlformats.org/spreadsheetml/2006/main" ref="H136:AL144" displayName="Table_118" name="Table_118" id="11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3" showColumnStripes="0" showFirstColumn="1" showLastColumn="1" showRowStripes="1"/>
</table>
</file>

<file path=xl/tables/table119.xml><?xml version="1.0" encoding="utf-8"?>
<table xmlns="http://schemas.openxmlformats.org/spreadsheetml/2006/main" ref="H146:AL156" displayName="Table_119" name="Table_119" id="11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4" showColumnStripes="0" showFirstColumn="1" showLastColumn="1" showRowStripes="1"/>
</table>
</file>

<file path=xl/tables/table120.xml><?xml version="1.0" encoding="utf-8"?>
<table xmlns="http://schemas.openxmlformats.org/spreadsheetml/2006/main" ref="H158:AL166" displayName="Table_120" name="Table_120" id="12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Agosto-style 15" showColumnStripes="0" showFirstColumn="1" showLastColumn="1" showRowStripes="1"/>
</table>
</file>

<file path=xl/tables/table121.xml><?xml version="1.0" encoding="utf-8"?>
<table xmlns="http://schemas.openxmlformats.org/spreadsheetml/2006/main" ref="H11:AL20" displayName="Table_121" name="Table_121" id="12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" showColumnStripes="0" showFirstColumn="1" showLastColumn="1" showRowStripes="1"/>
</table>
</file>

<file path=xl/tables/table122.xml><?xml version="1.0" encoding="utf-8"?>
<table xmlns="http://schemas.openxmlformats.org/spreadsheetml/2006/main" ref="H28:AL35" displayName="Table_122" name="Table_122" id="12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2" showColumnStripes="0" showFirstColumn="1" showLastColumn="1" showRowStripes="1"/>
</table>
</file>

<file path=xl/tables/table123.xml><?xml version="1.0" encoding="utf-8"?>
<table xmlns="http://schemas.openxmlformats.org/spreadsheetml/2006/main" ref="H37:AL43" displayName="Table_123" name="Table_123" id="12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3" showColumnStripes="0" showFirstColumn="1" showLastColumn="1" showRowStripes="1"/>
</table>
</file>

<file path=xl/tables/table124.xml><?xml version="1.0" encoding="utf-8"?>
<table xmlns="http://schemas.openxmlformats.org/spreadsheetml/2006/main" ref="H45:AL56" displayName="Table_124" name="Table_124" id="12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4" showColumnStripes="0" showFirstColumn="1" showLastColumn="1" showRowStripes="1"/>
</table>
</file>

<file path=xl/tables/table125.xml><?xml version="1.0" encoding="utf-8"?>
<table xmlns="http://schemas.openxmlformats.org/spreadsheetml/2006/main" ref="H58:AL66" displayName="Table_125" name="Table_125" id="12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5" showColumnStripes="0" showFirstColumn="1" showLastColumn="1" showRowStripes="1"/>
</table>
</file>

<file path=xl/tables/table126.xml><?xml version="1.0" encoding="utf-8"?>
<table xmlns="http://schemas.openxmlformats.org/spreadsheetml/2006/main" ref="H68:AL75" displayName="Table_126" name="Table_126" id="12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6" showColumnStripes="0" showFirstColumn="1" showLastColumn="1" showRowStripes="1"/>
</table>
</file>

<file path=xl/tables/table127.xml><?xml version="1.0" encoding="utf-8"?>
<table xmlns="http://schemas.openxmlformats.org/spreadsheetml/2006/main" ref="H77:AL86" displayName="Table_127" name="Table_127" id="12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7" showColumnStripes="0" showFirstColumn="1" showLastColumn="1" showRowStripes="1"/>
</table>
</file>

<file path=xl/tables/table128.xml><?xml version="1.0" encoding="utf-8"?>
<table xmlns="http://schemas.openxmlformats.org/spreadsheetml/2006/main" ref="H88:AL95" displayName="Table_128" name="Table_128" id="12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8" showColumnStripes="0" showFirstColumn="1" showLastColumn="1" showRowStripes="1"/>
</table>
</file>

<file path=xl/tables/table129.xml><?xml version="1.0" encoding="utf-8"?>
<table xmlns="http://schemas.openxmlformats.org/spreadsheetml/2006/main" ref="H97:AL105" displayName="Table_129" name="Table_129" id="12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9" showColumnStripes="0" showFirstColumn="1" showLastColumn="1" showRowStripes="1"/>
</table>
</file>

<file path=xl/tables/table130.xml><?xml version="1.0" encoding="utf-8"?>
<table xmlns="http://schemas.openxmlformats.org/spreadsheetml/2006/main" ref="H107:AL113" displayName="Table_130" name="Table_130" id="13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0" showColumnStripes="0" showFirstColumn="1" showLastColumn="1" showRowStripes="1"/>
</table>
</file>

<file path=xl/tables/table131.xml><?xml version="1.0" encoding="utf-8"?>
<table xmlns="http://schemas.openxmlformats.org/spreadsheetml/2006/main" ref="H115:AL124" displayName="Table_131" name="Table_131" id="13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1" showColumnStripes="0" showFirstColumn="1" showLastColumn="1" showRowStripes="1"/>
</table>
</file>

<file path=xl/tables/table132.xml><?xml version="1.0" encoding="utf-8"?>
<table xmlns="http://schemas.openxmlformats.org/spreadsheetml/2006/main" ref="H126:AL134" displayName="Table_132" name="Table_132" id="13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2" showColumnStripes="0" showFirstColumn="1" showLastColumn="1" showRowStripes="1"/>
</table>
</file>

<file path=xl/tables/table133.xml><?xml version="1.0" encoding="utf-8"?>
<table xmlns="http://schemas.openxmlformats.org/spreadsheetml/2006/main" ref="H136:AL144" displayName="Table_133" name="Table_133" id="13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3" showColumnStripes="0" showFirstColumn="1" showLastColumn="1" showRowStripes="1"/>
</table>
</file>

<file path=xl/tables/table134.xml><?xml version="1.0" encoding="utf-8"?>
<table xmlns="http://schemas.openxmlformats.org/spreadsheetml/2006/main" ref="H146:AL156" displayName="Table_134" name="Table_134" id="13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4" showColumnStripes="0" showFirstColumn="1" showLastColumn="1" showRowStripes="1"/>
</table>
</file>

<file path=xl/tables/table135.xml><?xml version="1.0" encoding="utf-8"?>
<table xmlns="http://schemas.openxmlformats.org/spreadsheetml/2006/main" ref="H158:AL166" displayName="Table_135" name="Table_135" id="13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Septiembre-style 15" showColumnStripes="0" showFirstColumn="1" showLastColumn="1" showRowStripes="1"/>
</table>
</file>

<file path=xl/tables/table136.xml><?xml version="1.0" encoding="utf-8"?>
<table xmlns="http://schemas.openxmlformats.org/spreadsheetml/2006/main" ref="H11:AL20" displayName="Table_136" name="Table_136" id="13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" showColumnStripes="0" showFirstColumn="1" showLastColumn="1" showRowStripes="1"/>
</table>
</file>

<file path=xl/tables/table137.xml><?xml version="1.0" encoding="utf-8"?>
<table xmlns="http://schemas.openxmlformats.org/spreadsheetml/2006/main" ref="H28:AL35" displayName="Table_137" name="Table_137" id="13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2" showColumnStripes="0" showFirstColumn="1" showLastColumn="1" showRowStripes="1"/>
</table>
</file>

<file path=xl/tables/table138.xml><?xml version="1.0" encoding="utf-8"?>
<table xmlns="http://schemas.openxmlformats.org/spreadsheetml/2006/main" ref="H37:AL43" displayName="Table_138" name="Table_138" id="13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3" showColumnStripes="0" showFirstColumn="1" showLastColumn="1" showRowStripes="1"/>
</table>
</file>

<file path=xl/tables/table139.xml><?xml version="1.0" encoding="utf-8"?>
<table xmlns="http://schemas.openxmlformats.org/spreadsheetml/2006/main" ref="H45:AL56" displayName="Table_139" name="Table_139" id="13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4" showColumnStripes="0" showFirstColumn="1" showLastColumn="1" showRowStripes="1"/>
</table>
</file>

<file path=xl/tables/table140.xml><?xml version="1.0" encoding="utf-8"?>
<table xmlns="http://schemas.openxmlformats.org/spreadsheetml/2006/main" ref="H58:AL66" displayName="Table_140" name="Table_140" id="14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5" showColumnStripes="0" showFirstColumn="1" showLastColumn="1" showRowStripes="1"/>
</table>
</file>

<file path=xl/tables/table141.xml><?xml version="1.0" encoding="utf-8"?>
<table xmlns="http://schemas.openxmlformats.org/spreadsheetml/2006/main" ref="H68:AL75" displayName="Table_141" name="Table_141" id="14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6" showColumnStripes="0" showFirstColumn="1" showLastColumn="1" showRowStripes="1"/>
</table>
</file>

<file path=xl/tables/table142.xml><?xml version="1.0" encoding="utf-8"?>
<table xmlns="http://schemas.openxmlformats.org/spreadsheetml/2006/main" ref="H77:AL86" displayName="Table_142" name="Table_142" id="14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7" showColumnStripes="0" showFirstColumn="1" showLastColumn="1" showRowStripes="1"/>
</table>
</file>

<file path=xl/tables/table143.xml><?xml version="1.0" encoding="utf-8"?>
<table xmlns="http://schemas.openxmlformats.org/spreadsheetml/2006/main" ref="H88:AL95" displayName="Table_143" name="Table_143" id="14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8" showColumnStripes="0" showFirstColumn="1" showLastColumn="1" showRowStripes="1"/>
</table>
</file>

<file path=xl/tables/table144.xml><?xml version="1.0" encoding="utf-8"?>
<table xmlns="http://schemas.openxmlformats.org/spreadsheetml/2006/main" ref="H97:AL105" displayName="Table_144" name="Table_144" id="14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9" showColumnStripes="0" showFirstColumn="1" showLastColumn="1" showRowStripes="1"/>
</table>
</file>

<file path=xl/tables/table145.xml><?xml version="1.0" encoding="utf-8"?>
<table xmlns="http://schemas.openxmlformats.org/spreadsheetml/2006/main" ref="H107:AL113" displayName="Table_145" name="Table_145" id="14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0" showColumnStripes="0" showFirstColumn="1" showLastColumn="1" showRowStripes="1"/>
</table>
</file>

<file path=xl/tables/table146.xml><?xml version="1.0" encoding="utf-8"?>
<table xmlns="http://schemas.openxmlformats.org/spreadsheetml/2006/main" ref="H115:AL124" displayName="Table_146" name="Table_146" id="14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1" showColumnStripes="0" showFirstColumn="1" showLastColumn="1" showRowStripes="1"/>
</table>
</file>

<file path=xl/tables/table147.xml><?xml version="1.0" encoding="utf-8"?>
<table xmlns="http://schemas.openxmlformats.org/spreadsheetml/2006/main" ref="H126:AL134" displayName="Table_147" name="Table_147" id="14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2" showColumnStripes="0" showFirstColumn="1" showLastColumn="1" showRowStripes="1"/>
</table>
</file>

<file path=xl/tables/table148.xml><?xml version="1.0" encoding="utf-8"?>
<table xmlns="http://schemas.openxmlformats.org/spreadsheetml/2006/main" ref="H136:AL144" displayName="Table_148" name="Table_148" id="14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3" showColumnStripes="0" showFirstColumn="1" showLastColumn="1" showRowStripes="1"/>
</table>
</file>

<file path=xl/tables/table149.xml><?xml version="1.0" encoding="utf-8"?>
<table xmlns="http://schemas.openxmlformats.org/spreadsheetml/2006/main" ref="H146:AL156" displayName="Table_149" name="Table_149" id="14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4" showColumnStripes="0" showFirstColumn="1" showLastColumn="1" showRowStripes="1"/>
</table>
</file>

<file path=xl/tables/table150.xml><?xml version="1.0" encoding="utf-8"?>
<table xmlns="http://schemas.openxmlformats.org/spreadsheetml/2006/main" ref="H158:AL166" displayName="Table_150" name="Table_150" id="15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Octubre-style 15" showColumnStripes="0" showFirstColumn="1" showLastColumn="1" showRowStripes="1"/>
</table>
</file>

<file path=xl/tables/table151.xml><?xml version="1.0" encoding="utf-8"?>
<table xmlns="http://schemas.openxmlformats.org/spreadsheetml/2006/main" ref="H11:AL20" displayName="Table_151" name="Table_151" id="15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" showColumnStripes="0" showFirstColumn="1" showLastColumn="1" showRowStripes="1"/>
</table>
</file>

<file path=xl/tables/table152.xml><?xml version="1.0" encoding="utf-8"?>
<table xmlns="http://schemas.openxmlformats.org/spreadsheetml/2006/main" ref="H28:AL35" displayName="Table_152" name="Table_152" id="15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2" showColumnStripes="0" showFirstColumn="1" showLastColumn="1" showRowStripes="1"/>
</table>
</file>

<file path=xl/tables/table153.xml><?xml version="1.0" encoding="utf-8"?>
<table xmlns="http://schemas.openxmlformats.org/spreadsheetml/2006/main" ref="H37:AL43" displayName="Table_153" name="Table_153" id="15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3" showColumnStripes="0" showFirstColumn="1" showLastColumn="1" showRowStripes="1"/>
</table>
</file>

<file path=xl/tables/table154.xml><?xml version="1.0" encoding="utf-8"?>
<table xmlns="http://schemas.openxmlformats.org/spreadsheetml/2006/main" ref="H45:AL56" displayName="Table_154" name="Table_154" id="15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4" showColumnStripes="0" showFirstColumn="1" showLastColumn="1" showRowStripes="1"/>
</table>
</file>

<file path=xl/tables/table155.xml><?xml version="1.0" encoding="utf-8"?>
<table xmlns="http://schemas.openxmlformats.org/spreadsheetml/2006/main" ref="H58:AL66" displayName="Table_155" name="Table_155" id="15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5" showColumnStripes="0" showFirstColumn="1" showLastColumn="1" showRowStripes="1"/>
</table>
</file>

<file path=xl/tables/table156.xml><?xml version="1.0" encoding="utf-8"?>
<table xmlns="http://schemas.openxmlformats.org/spreadsheetml/2006/main" ref="H68:AL75" displayName="Table_156" name="Table_156" id="15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6" showColumnStripes="0" showFirstColumn="1" showLastColumn="1" showRowStripes="1"/>
</table>
</file>

<file path=xl/tables/table157.xml><?xml version="1.0" encoding="utf-8"?>
<table xmlns="http://schemas.openxmlformats.org/spreadsheetml/2006/main" ref="H77:AL86" displayName="Table_157" name="Table_157" id="15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7" showColumnStripes="0" showFirstColumn="1" showLastColumn="1" showRowStripes="1"/>
</table>
</file>

<file path=xl/tables/table158.xml><?xml version="1.0" encoding="utf-8"?>
<table xmlns="http://schemas.openxmlformats.org/spreadsheetml/2006/main" ref="H88:AL95" displayName="Table_158" name="Table_158" id="15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8" showColumnStripes="0" showFirstColumn="1" showLastColumn="1" showRowStripes="1"/>
</table>
</file>

<file path=xl/tables/table159.xml><?xml version="1.0" encoding="utf-8"?>
<table xmlns="http://schemas.openxmlformats.org/spreadsheetml/2006/main" ref="H97:AL113" displayName="Table_159" name="Table_159" id="15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9" showColumnStripes="0" showFirstColumn="1" showLastColumn="1" showRowStripes="1"/>
</table>
</file>

<file path=xl/tables/table160.xml><?xml version="1.0" encoding="utf-8"?>
<table xmlns="http://schemas.openxmlformats.org/spreadsheetml/2006/main" ref="H114:AL120" displayName="Table_160" name="Table_160" id="16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0" showColumnStripes="0" showFirstColumn="1" showLastColumn="1" showRowStripes="1"/>
</table>
</file>

<file path=xl/tables/table161.xml><?xml version="1.0" encoding="utf-8"?>
<table xmlns="http://schemas.openxmlformats.org/spreadsheetml/2006/main" ref="H122:AL131" displayName="Table_161" name="Table_161" id="16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1" showColumnStripes="0" showFirstColumn="1" showLastColumn="1" showRowStripes="1"/>
</table>
</file>

<file path=xl/tables/table162.xml><?xml version="1.0" encoding="utf-8"?>
<table xmlns="http://schemas.openxmlformats.org/spreadsheetml/2006/main" ref="H133:AL141" displayName="Table_162" name="Table_162" id="16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2" showColumnStripes="0" showFirstColumn="1" showLastColumn="1" showRowStripes="1"/>
</table>
</file>

<file path=xl/tables/table163.xml><?xml version="1.0" encoding="utf-8"?>
<table xmlns="http://schemas.openxmlformats.org/spreadsheetml/2006/main" ref="H143:AL151" displayName="Table_163" name="Table_163" id="16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3" showColumnStripes="0" showFirstColumn="1" showLastColumn="1" showRowStripes="1"/>
</table>
</file>

<file path=xl/tables/table164.xml><?xml version="1.0" encoding="utf-8"?>
<table xmlns="http://schemas.openxmlformats.org/spreadsheetml/2006/main" ref="H153:AL163" displayName="Table_164" name="Table_164" id="16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4" showColumnStripes="0" showFirstColumn="1" showLastColumn="1" showRowStripes="1"/>
</table>
</file>

<file path=xl/tables/table165.xml><?xml version="1.0" encoding="utf-8"?>
<table xmlns="http://schemas.openxmlformats.org/spreadsheetml/2006/main" ref="H165:AL173" displayName="Table_165" name="Table_165" id="16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Noviembre-style 15" showColumnStripes="0" showFirstColumn="1" showLastColumn="1" showRowStripes="1"/>
</table>
</file>

<file path=xl/tables/table166.xml><?xml version="1.0" encoding="utf-8"?>
<table xmlns="http://schemas.openxmlformats.org/spreadsheetml/2006/main" ref="H11:AL20" displayName="Table_166" name="Table_166" id="16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" showColumnStripes="0" showFirstColumn="1" showLastColumn="1" showRowStripes="1"/>
</table>
</file>

<file path=xl/tables/table167.xml><?xml version="1.0" encoding="utf-8"?>
<table xmlns="http://schemas.openxmlformats.org/spreadsheetml/2006/main" ref="H28:AL35" displayName="Table_167" name="Table_167" id="16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2" showColumnStripes="0" showFirstColumn="1" showLastColumn="1" showRowStripes="1"/>
</table>
</file>

<file path=xl/tables/table168.xml><?xml version="1.0" encoding="utf-8"?>
<table xmlns="http://schemas.openxmlformats.org/spreadsheetml/2006/main" ref="H37:AL43" displayName="Table_168" name="Table_168" id="16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3" showColumnStripes="0" showFirstColumn="1" showLastColumn="1" showRowStripes="1"/>
</table>
</file>

<file path=xl/tables/table169.xml><?xml version="1.0" encoding="utf-8"?>
<table xmlns="http://schemas.openxmlformats.org/spreadsheetml/2006/main" ref="H45:AL56" displayName="Table_169" name="Table_169" id="16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4" showColumnStripes="0" showFirstColumn="1" showLastColumn="1" showRowStripes="1"/>
</table>
</file>

<file path=xl/tables/table170.xml><?xml version="1.0" encoding="utf-8"?>
<table xmlns="http://schemas.openxmlformats.org/spreadsheetml/2006/main" ref="H58:AL66" displayName="Table_170" name="Table_170" id="17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5" showColumnStripes="0" showFirstColumn="1" showLastColumn="1" showRowStripes="1"/>
</table>
</file>

<file path=xl/tables/table171.xml><?xml version="1.0" encoding="utf-8"?>
<table xmlns="http://schemas.openxmlformats.org/spreadsheetml/2006/main" ref="H68:AL75" displayName="Table_171" name="Table_171" id="171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6" showColumnStripes="0" showFirstColumn="1" showLastColumn="1" showRowStripes="1"/>
</table>
</file>

<file path=xl/tables/table172.xml><?xml version="1.0" encoding="utf-8"?>
<table xmlns="http://schemas.openxmlformats.org/spreadsheetml/2006/main" ref="H77:AL86" displayName="Table_172" name="Table_172" id="172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7" showColumnStripes="0" showFirstColumn="1" showLastColumn="1" showRowStripes="1"/>
</table>
</file>

<file path=xl/tables/table173.xml><?xml version="1.0" encoding="utf-8"?>
<table xmlns="http://schemas.openxmlformats.org/spreadsheetml/2006/main" ref="H88:AL95" displayName="Table_173" name="Table_173" id="173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8" showColumnStripes="0" showFirstColumn="1" showLastColumn="1" showRowStripes="1"/>
</table>
</file>

<file path=xl/tables/table174.xml><?xml version="1.0" encoding="utf-8"?>
<table xmlns="http://schemas.openxmlformats.org/spreadsheetml/2006/main" ref="H97:AL105" displayName="Table_174" name="Table_174" id="174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9" showColumnStripes="0" showFirstColumn="1" showLastColumn="1" showRowStripes="1"/>
</table>
</file>

<file path=xl/tables/table175.xml><?xml version="1.0" encoding="utf-8"?>
<table xmlns="http://schemas.openxmlformats.org/spreadsheetml/2006/main" ref="H107:AL113" displayName="Table_175" name="Table_175" id="175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0" showColumnStripes="0" showFirstColumn="1" showLastColumn="1" showRowStripes="1"/>
</table>
</file>

<file path=xl/tables/table176.xml><?xml version="1.0" encoding="utf-8"?>
<table xmlns="http://schemas.openxmlformats.org/spreadsheetml/2006/main" ref="H115:AL124" displayName="Table_176" name="Table_176" id="176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1" showColumnStripes="0" showFirstColumn="1" showLastColumn="1" showRowStripes="1"/>
</table>
</file>

<file path=xl/tables/table177.xml><?xml version="1.0" encoding="utf-8"?>
<table xmlns="http://schemas.openxmlformats.org/spreadsheetml/2006/main" ref="H126:AL134" displayName="Table_177" name="Table_177" id="177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2" showColumnStripes="0" showFirstColumn="1" showLastColumn="1" showRowStripes="1"/>
</table>
</file>

<file path=xl/tables/table178.xml><?xml version="1.0" encoding="utf-8"?>
<table xmlns="http://schemas.openxmlformats.org/spreadsheetml/2006/main" ref="H136:AL144" displayName="Table_178" name="Table_178" id="178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3" showColumnStripes="0" showFirstColumn="1" showLastColumn="1" showRowStripes="1"/>
</table>
</file>

<file path=xl/tables/table179.xml><?xml version="1.0" encoding="utf-8"?>
<table xmlns="http://schemas.openxmlformats.org/spreadsheetml/2006/main" ref="H146:AL156" displayName="Table_179" name="Table_179" id="179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4" showColumnStripes="0" showFirstColumn="1" showLastColumn="1" showRowStripes="1"/>
</table>
</file>

<file path=xl/tables/table180.xml><?xml version="1.0" encoding="utf-8"?>
<table xmlns="http://schemas.openxmlformats.org/spreadsheetml/2006/main" ref="H158:AL166" displayName="Table_180" name="Table_180" id="180">
  <tableColumns count="31">
    <tableColumn name="1" id="1"/>
    <tableColumn name="2" id="2"/>
    <tableColumn name="3" id="3"/>
    <tableColumn name="4" id="4"/>
    <tableColumn name="5" id="5"/>
    <tableColumn name="6" id="6"/>
    <tableColumn name="7" id="7"/>
    <tableColumn name="8" id="8"/>
    <tableColumn name="9" id="9"/>
    <tableColumn name="10" id="10"/>
    <tableColumn name="11" id="11"/>
    <tableColumn name="12" id="12"/>
    <tableColumn name="13" id="13"/>
    <tableColumn name="14" id="14"/>
    <tableColumn name="15" id="15"/>
    <tableColumn name="16" id="16"/>
    <tableColumn name="17" id="17"/>
    <tableColumn name="18" id="18"/>
    <tableColumn name="19" id="19"/>
    <tableColumn name="20" id="20"/>
    <tableColumn name="21" id="21"/>
    <tableColumn name="22" id="22"/>
    <tableColumn name="23" id="23"/>
    <tableColumn name="24" id="24"/>
    <tableColumn name="25" id="25"/>
    <tableColumn name="26" id="26"/>
    <tableColumn name="27" id="27"/>
    <tableColumn name="28" id="28"/>
    <tableColumn name="29" id="29"/>
    <tableColumn name="30" id="30"/>
    <tableColumn name="31" id="31"/>
  </tableColumns>
  <tableStyleInfo name="Diciembre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3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.xml"/><Relationship Id="rId31" Type="http://schemas.openxmlformats.org/officeDocument/2006/relationships/table" Target="../tables/table30.xml"/><Relationship Id="rId30" Type="http://schemas.openxmlformats.org/officeDocument/2006/relationships/table" Target="../tables/table29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1" Type="http://schemas.openxmlformats.org/officeDocument/2006/relationships/drawing" Target="../drawings/drawing4.xml"/><Relationship Id="rId26" Type="http://schemas.openxmlformats.org/officeDocument/2006/relationships/table" Target="../tables/table25.xml"/><Relationship Id="rId25" Type="http://schemas.openxmlformats.org/officeDocument/2006/relationships/table" Target="../tables/table24.xml"/><Relationship Id="rId17" Type="http://schemas.openxmlformats.org/officeDocument/2006/relationships/table" Target="../tables/table16.xml"/><Relationship Id="rId28" Type="http://schemas.openxmlformats.org/officeDocument/2006/relationships/table" Target="../tables/table27.xml"/><Relationship Id="rId27" Type="http://schemas.openxmlformats.org/officeDocument/2006/relationships/table" Target="../tables/table26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Relationship Id="rId29" Type="http://schemas.openxmlformats.org/officeDocument/2006/relationships/table" Target="../tables/table28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4.xml"/><Relationship Id="rId31" Type="http://schemas.openxmlformats.org/officeDocument/2006/relationships/table" Target="../tables/table45.xml"/><Relationship Id="rId30" Type="http://schemas.openxmlformats.org/officeDocument/2006/relationships/table" Target="../tables/table44.xml"/><Relationship Id="rId22" Type="http://schemas.openxmlformats.org/officeDocument/2006/relationships/table" Target="../tables/table36.xml"/><Relationship Id="rId21" Type="http://schemas.openxmlformats.org/officeDocument/2006/relationships/table" Target="../tables/table35.xml"/><Relationship Id="rId24" Type="http://schemas.openxmlformats.org/officeDocument/2006/relationships/table" Target="../tables/table38.xml"/><Relationship Id="rId23" Type="http://schemas.openxmlformats.org/officeDocument/2006/relationships/table" Target="../tables/table37.xml"/><Relationship Id="rId1" Type="http://schemas.openxmlformats.org/officeDocument/2006/relationships/drawing" Target="../drawings/drawing5.xml"/><Relationship Id="rId26" Type="http://schemas.openxmlformats.org/officeDocument/2006/relationships/table" Target="../tables/table40.xml"/><Relationship Id="rId25" Type="http://schemas.openxmlformats.org/officeDocument/2006/relationships/table" Target="../tables/table39.xml"/><Relationship Id="rId17" Type="http://schemas.openxmlformats.org/officeDocument/2006/relationships/table" Target="../tables/table31.xml"/><Relationship Id="rId28" Type="http://schemas.openxmlformats.org/officeDocument/2006/relationships/table" Target="../tables/table42.xml"/><Relationship Id="rId27" Type="http://schemas.openxmlformats.org/officeDocument/2006/relationships/table" Target="../tables/table41.xml"/><Relationship Id="rId19" Type="http://schemas.openxmlformats.org/officeDocument/2006/relationships/table" Target="../tables/table33.xml"/><Relationship Id="rId18" Type="http://schemas.openxmlformats.org/officeDocument/2006/relationships/table" Target="../tables/table32.xml"/><Relationship Id="rId29" Type="http://schemas.openxmlformats.org/officeDocument/2006/relationships/table" Target="../tables/table43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9.xml"/><Relationship Id="rId31" Type="http://schemas.openxmlformats.org/officeDocument/2006/relationships/table" Target="../tables/table60.xml"/><Relationship Id="rId30" Type="http://schemas.openxmlformats.org/officeDocument/2006/relationships/table" Target="../tables/table59.xml"/><Relationship Id="rId22" Type="http://schemas.openxmlformats.org/officeDocument/2006/relationships/table" Target="../tables/table51.xml"/><Relationship Id="rId21" Type="http://schemas.openxmlformats.org/officeDocument/2006/relationships/table" Target="../tables/table50.xml"/><Relationship Id="rId24" Type="http://schemas.openxmlformats.org/officeDocument/2006/relationships/table" Target="../tables/table53.xml"/><Relationship Id="rId23" Type="http://schemas.openxmlformats.org/officeDocument/2006/relationships/table" Target="../tables/table52.xml"/><Relationship Id="rId1" Type="http://schemas.openxmlformats.org/officeDocument/2006/relationships/drawing" Target="../drawings/drawing6.xml"/><Relationship Id="rId26" Type="http://schemas.openxmlformats.org/officeDocument/2006/relationships/table" Target="../tables/table55.xml"/><Relationship Id="rId25" Type="http://schemas.openxmlformats.org/officeDocument/2006/relationships/table" Target="../tables/table54.xml"/><Relationship Id="rId17" Type="http://schemas.openxmlformats.org/officeDocument/2006/relationships/table" Target="../tables/table46.xml"/><Relationship Id="rId28" Type="http://schemas.openxmlformats.org/officeDocument/2006/relationships/table" Target="../tables/table57.xml"/><Relationship Id="rId27" Type="http://schemas.openxmlformats.org/officeDocument/2006/relationships/table" Target="../tables/table56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Relationship Id="rId29" Type="http://schemas.openxmlformats.org/officeDocument/2006/relationships/table" Target="../tables/table58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4.xml"/><Relationship Id="rId31" Type="http://schemas.openxmlformats.org/officeDocument/2006/relationships/table" Target="../tables/table75.xml"/><Relationship Id="rId30" Type="http://schemas.openxmlformats.org/officeDocument/2006/relationships/table" Target="../tables/table74.xml"/><Relationship Id="rId22" Type="http://schemas.openxmlformats.org/officeDocument/2006/relationships/table" Target="../tables/table66.xml"/><Relationship Id="rId21" Type="http://schemas.openxmlformats.org/officeDocument/2006/relationships/table" Target="../tables/table65.xml"/><Relationship Id="rId24" Type="http://schemas.openxmlformats.org/officeDocument/2006/relationships/table" Target="../tables/table68.xml"/><Relationship Id="rId23" Type="http://schemas.openxmlformats.org/officeDocument/2006/relationships/table" Target="../tables/table67.xml"/><Relationship Id="rId1" Type="http://schemas.openxmlformats.org/officeDocument/2006/relationships/drawing" Target="../drawings/drawing7.xml"/><Relationship Id="rId26" Type="http://schemas.openxmlformats.org/officeDocument/2006/relationships/table" Target="../tables/table70.xml"/><Relationship Id="rId25" Type="http://schemas.openxmlformats.org/officeDocument/2006/relationships/table" Target="../tables/table69.xml"/><Relationship Id="rId17" Type="http://schemas.openxmlformats.org/officeDocument/2006/relationships/table" Target="../tables/table61.xml"/><Relationship Id="rId28" Type="http://schemas.openxmlformats.org/officeDocument/2006/relationships/table" Target="../tables/table72.xml"/><Relationship Id="rId27" Type="http://schemas.openxmlformats.org/officeDocument/2006/relationships/table" Target="../tables/table71.xml"/><Relationship Id="rId19" Type="http://schemas.openxmlformats.org/officeDocument/2006/relationships/table" Target="../tables/table63.xml"/><Relationship Id="rId18" Type="http://schemas.openxmlformats.org/officeDocument/2006/relationships/table" Target="../tables/table62.xml"/><Relationship Id="rId29" Type="http://schemas.openxmlformats.org/officeDocument/2006/relationships/table" Target="../tables/table73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9.xml"/><Relationship Id="rId31" Type="http://schemas.openxmlformats.org/officeDocument/2006/relationships/table" Target="../tables/table90.xml"/><Relationship Id="rId30" Type="http://schemas.openxmlformats.org/officeDocument/2006/relationships/table" Target="../tables/table89.xml"/><Relationship Id="rId22" Type="http://schemas.openxmlformats.org/officeDocument/2006/relationships/table" Target="../tables/table81.xml"/><Relationship Id="rId21" Type="http://schemas.openxmlformats.org/officeDocument/2006/relationships/table" Target="../tables/table80.xml"/><Relationship Id="rId24" Type="http://schemas.openxmlformats.org/officeDocument/2006/relationships/table" Target="../tables/table83.xml"/><Relationship Id="rId23" Type="http://schemas.openxmlformats.org/officeDocument/2006/relationships/table" Target="../tables/table82.xml"/><Relationship Id="rId1" Type="http://schemas.openxmlformats.org/officeDocument/2006/relationships/drawing" Target="../drawings/drawing8.xml"/><Relationship Id="rId26" Type="http://schemas.openxmlformats.org/officeDocument/2006/relationships/table" Target="../tables/table85.xml"/><Relationship Id="rId25" Type="http://schemas.openxmlformats.org/officeDocument/2006/relationships/table" Target="../tables/table84.xml"/><Relationship Id="rId17" Type="http://schemas.openxmlformats.org/officeDocument/2006/relationships/table" Target="../tables/table76.xml"/><Relationship Id="rId28" Type="http://schemas.openxmlformats.org/officeDocument/2006/relationships/table" Target="../tables/table87.xml"/><Relationship Id="rId27" Type="http://schemas.openxmlformats.org/officeDocument/2006/relationships/table" Target="../tables/table86.xml"/><Relationship Id="rId19" Type="http://schemas.openxmlformats.org/officeDocument/2006/relationships/table" Target="../tables/table78.xml"/><Relationship Id="rId18" Type="http://schemas.openxmlformats.org/officeDocument/2006/relationships/table" Target="../tables/table77.xml"/><Relationship Id="rId29" Type="http://schemas.openxmlformats.org/officeDocument/2006/relationships/table" Target="../tables/table8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4.xml"/><Relationship Id="rId31" Type="http://schemas.openxmlformats.org/officeDocument/2006/relationships/table" Target="../tables/table105.xml"/><Relationship Id="rId30" Type="http://schemas.openxmlformats.org/officeDocument/2006/relationships/table" Target="../tables/table104.xml"/><Relationship Id="rId22" Type="http://schemas.openxmlformats.org/officeDocument/2006/relationships/table" Target="../tables/table96.xml"/><Relationship Id="rId21" Type="http://schemas.openxmlformats.org/officeDocument/2006/relationships/table" Target="../tables/table95.xml"/><Relationship Id="rId24" Type="http://schemas.openxmlformats.org/officeDocument/2006/relationships/table" Target="../tables/table98.xml"/><Relationship Id="rId23" Type="http://schemas.openxmlformats.org/officeDocument/2006/relationships/table" Target="../tables/table97.xml"/><Relationship Id="rId1" Type="http://schemas.openxmlformats.org/officeDocument/2006/relationships/drawing" Target="../drawings/drawing9.xml"/><Relationship Id="rId26" Type="http://schemas.openxmlformats.org/officeDocument/2006/relationships/table" Target="../tables/table100.xml"/><Relationship Id="rId25" Type="http://schemas.openxmlformats.org/officeDocument/2006/relationships/table" Target="../tables/table99.xml"/><Relationship Id="rId17" Type="http://schemas.openxmlformats.org/officeDocument/2006/relationships/table" Target="../tables/table91.xml"/><Relationship Id="rId28" Type="http://schemas.openxmlformats.org/officeDocument/2006/relationships/table" Target="../tables/table102.xml"/><Relationship Id="rId27" Type="http://schemas.openxmlformats.org/officeDocument/2006/relationships/table" Target="../tables/table101.xml"/><Relationship Id="rId19" Type="http://schemas.openxmlformats.org/officeDocument/2006/relationships/table" Target="../tables/table93.xml"/><Relationship Id="rId18" Type="http://schemas.openxmlformats.org/officeDocument/2006/relationships/table" Target="../tables/table92.xml"/><Relationship Id="rId29" Type="http://schemas.openxmlformats.org/officeDocument/2006/relationships/table" Target="../tables/table103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9.xml"/><Relationship Id="rId31" Type="http://schemas.openxmlformats.org/officeDocument/2006/relationships/table" Target="../tables/table120.xml"/><Relationship Id="rId30" Type="http://schemas.openxmlformats.org/officeDocument/2006/relationships/table" Target="../tables/table119.xml"/><Relationship Id="rId22" Type="http://schemas.openxmlformats.org/officeDocument/2006/relationships/table" Target="../tables/table111.xml"/><Relationship Id="rId21" Type="http://schemas.openxmlformats.org/officeDocument/2006/relationships/table" Target="../tables/table110.xml"/><Relationship Id="rId24" Type="http://schemas.openxmlformats.org/officeDocument/2006/relationships/table" Target="../tables/table113.xml"/><Relationship Id="rId23" Type="http://schemas.openxmlformats.org/officeDocument/2006/relationships/table" Target="../tables/table112.xml"/><Relationship Id="rId1" Type="http://schemas.openxmlformats.org/officeDocument/2006/relationships/drawing" Target="../drawings/drawing10.xml"/><Relationship Id="rId26" Type="http://schemas.openxmlformats.org/officeDocument/2006/relationships/table" Target="../tables/table115.xml"/><Relationship Id="rId25" Type="http://schemas.openxmlformats.org/officeDocument/2006/relationships/table" Target="../tables/table114.xml"/><Relationship Id="rId17" Type="http://schemas.openxmlformats.org/officeDocument/2006/relationships/table" Target="../tables/table106.xml"/><Relationship Id="rId28" Type="http://schemas.openxmlformats.org/officeDocument/2006/relationships/table" Target="../tables/table117.xml"/><Relationship Id="rId27" Type="http://schemas.openxmlformats.org/officeDocument/2006/relationships/table" Target="../tables/table116.xml"/><Relationship Id="rId19" Type="http://schemas.openxmlformats.org/officeDocument/2006/relationships/table" Target="../tables/table108.xml"/><Relationship Id="rId18" Type="http://schemas.openxmlformats.org/officeDocument/2006/relationships/table" Target="../tables/table107.xml"/><Relationship Id="rId29" Type="http://schemas.openxmlformats.org/officeDocument/2006/relationships/table" Target="../tables/table118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24.xml"/><Relationship Id="rId31" Type="http://schemas.openxmlformats.org/officeDocument/2006/relationships/table" Target="../tables/table135.xml"/><Relationship Id="rId30" Type="http://schemas.openxmlformats.org/officeDocument/2006/relationships/table" Target="../tables/table134.xml"/><Relationship Id="rId22" Type="http://schemas.openxmlformats.org/officeDocument/2006/relationships/table" Target="../tables/table126.xml"/><Relationship Id="rId21" Type="http://schemas.openxmlformats.org/officeDocument/2006/relationships/table" Target="../tables/table125.xml"/><Relationship Id="rId24" Type="http://schemas.openxmlformats.org/officeDocument/2006/relationships/table" Target="../tables/table128.xml"/><Relationship Id="rId23" Type="http://schemas.openxmlformats.org/officeDocument/2006/relationships/table" Target="../tables/table127.xml"/><Relationship Id="rId1" Type="http://schemas.openxmlformats.org/officeDocument/2006/relationships/drawing" Target="../drawings/drawing11.xml"/><Relationship Id="rId26" Type="http://schemas.openxmlformats.org/officeDocument/2006/relationships/table" Target="../tables/table130.xml"/><Relationship Id="rId25" Type="http://schemas.openxmlformats.org/officeDocument/2006/relationships/table" Target="../tables/table129.xml"/><Relationship Id="rId17" Type="http://schemas.openxmlformats.org/officeDocument/2006/relationships/table" Target="../tables/table121.xml"/><Relationship Id="rId28" Type="http://schemas.openxmlformats.org/officeDocument/2006/relationships/table" Target="../tables/table132.xml"/><Relationship Id="rId27" Type="http://schemas.openxmlformats.org/officeDocument/2006/relationships/table" Target="../tables/table131.xml"/><Relationship Id="rId19" Type="http://schemas.openxmlformats.org/officeDocument/2006/relationships/table" Target="../tables/table123.xml"/><Relationship Id="rId18" Type="http://schemas.openxmlformats.org/officeDocument/2006/relationships/table" Target="../tables/table122.xml"/><Relationship Id="rId29" Type="http://schemas.openxmlformats.org/officeDocument/2006/relationships/table" Target="../tables/table133.xm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9.xml"/><Relationship Id="rId31" Type="http://schemas.openxmlformats.org/officeDocument/2006/relationships/table" Target="../tables/table150.xml"/><Relationship Id="rId30" Type="http://schemas.openxmlformats.org/officeDocument/2006/relationships/table" Target="../tables/table149.xml"/><Relationship Id="rId22" Type="http://schemas.openxmlformats.org/officeDocument/2006/relationships/table" Target="../tables/table141.xml"/><Relationship Id="rId21" Type="http://schemas.openxmlformats.org/officeDocument/2006/relationships/table" Target="../tables/table140.xml"/><Relationship Id="rId24" Type="http://schemas.openxmlformats.org/officeDocument/2006/relationships/table" Target="../tables/table143.xml"/><Relationship Id="rId23" Type="http://schemas.openxmlformats.org/officeDocument/2006/relationships/table" Target="../tables/table142.xml"/><Relationship Id="rId1" Type="http://schemas.openxmlformats.org/officeDocument/2006/relationships/drawing" Target="../drawings/drawing12.xml"/><Relationship Id="rId26" Type="http://schemas.openxmlformats.org/officeDocument/2006/relationships/table" Target="../tables/table145.xml"/><Relationship Id="rId25" Type="http://schemas.openxmlformats.org/officeDocument/2006/relationships/table" Target="../tables/table144.xml"/><Relationship Id="rId17" Type="http://schemas.openxmlformats.org/officeDocument/2006/relationships/table" Target="../tables/table136.xml"/><Relationship Id="rId28" Type="http://schemas.openxmlformats.org/officeDocument/2006/relationships/table" Target="../tables/table147.xml"/><Relationship Id="rId27" Type="http://schemas.openxmlformats.org/officeDocument/2006/relationships/table" Target="../tables/table146.xml"/><Relationship Id="rId19" Type="http://schemas.openxmlformats.org/officeDocument/2006/relationships/table" Target="../tables/table138.xml"/><Relationship Id="rId18" Type="http://schemas.openxmlformats.org/officeDocument/2006/relationships/table" Target="../tables/table137.xml"/><Relationship Id="rId29" Type="http://schemas.openxmlformats.org/officeDocument/2006/relationships/table" Target="../tables/table148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4.xml"/><Relationship Id="rId31" Type="http://schemas.openxmlformats.org/officeDocument/2006/relationships/table" Target="../tables/table165.xml"/><Relationship Id="rId30" Type="http://schemas.openxmlformats.org/officeDocument/2006/relationships/table" Target="../tables/table164.xml"/><Relationship Id="rId22" Type="http://schemas.openxmlformats.org/officeDocument/2006/relationships/table" Target="../tables/table156.xml"/><Relationship Id="rId21" Type="http://schemas.openxmlformats.org/officeDocument/2006/relationships/table" Target="../tables/table155.xml"/><Relationship Id="rId24" Type="http://schemas.openxmlformats.org/officeDocument/2006/relationships/table" Target="../tables/table158.xml"/><Relationship Id="rId23" Type="http://schemas.openxmlformats.org/officeDocument/2006/relationships/table" Target="../tables/table157.xml"/><Relationship Id="rId1" Type="http://schemas.openxmlformats.org/officeDocument/2006/relationships/drawing" Target="../drawings/drawing13.xml"/><Relationship Id="rId26" Type="http://schemas.openxmlformats.org/officeDocument/2006/relationships/table" Target="../tables/table160.xml"/><Relationship Id="rId25" Type="http://schemas.openxmlformats.org/officeDocument/2006/relationships/table" Target="../tables/table159.xml"/><Relationship Id="rId17" Type="http://schemas.openxmlformats.org/officeDocument/2006/relationships/table" Target="../tables/table151.xml"/><Relationship Id="rId28" Type="http://schemas.openxmlformats.org/officeDocument/2006/relationships/table" Target="../tables/table162.xml"/><Relationship Id="rId27" Type="http://schemas.openxmlformats.org/officeDocument/2006/relationships/table" Target="../tables/table161.xml"/><Relationship Id="rId19" Type="http://schemas.openxmlformats.org/officeDocument/2006/relationships/table" Target="../tables/table153.xml"/><Relationship Id="rId18" Type="http://schemas.openxmlformats.org/officeDocument/2006/relationships/table" Target="../tables/table152.xml"/><Relationship Id="rId29" Type="http://schemas.openxmlformats.org/officeDocument/2006/relationships/table" Target="../tables/table16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69.xml"/><Relationship Id="rId31" Type="http://schemas.openxmlformats.org/officeDocument/2006/relationships/table" Target="../tables/table180.xml"/><Relationship Id="rId30" Type="http://schemas.openxmlformats.org/officeDocument/2006/relationships/table" Target="../tables/table179.xml"/><Relationship Id="rId22" Type="http://schemas.openxmlformats.org/officeDocument/2006/relationships/table" Target="../tables/table171.xml"/><Relationship Id="rId21" Type="http://schemas.openxmlformats.org/officeDocument/2006/relationships/table" Target="../tables/table170.xml"/><Relationship Id="rId24" Type="http://schemas.openxmlformats.org/officeDocument/2006/relationships/table" Target="../tables/table173.xml"/><Relationship Id="rId23" Type="http://schemas.openxmlformats.org/officeDocument/2006/relationships/table" Target="../tables/table172.xml"/><Relationship Id="rId1" Type="http://schemas.openxmlformats.org/officeDocument/2006/relationships/drawing" Target="../drawings/drawing14.xml"/><Relationship Id="rId26" Type="http://schemas.openxmlformats.org/officeDocument/2006/relationships/table" Target="../tables/table175.xml"/><Relationship Id="rId25" Type="http://schemas.openxmlformats.org/officeDocument/2006/relationships/table" Target="../tables/table174.xml"/><Relationship Id="rId17" Type="http://schemas.openxmlformats.org/officeDocument/2006/relationships/table" Target="../tables/table166.xml"/><Relationship Id="rId28" Type="http://schemas.openxmlformats.org/officeDocument/2006/relationships/table" Target="../tables/table177.xml"/><Relationship Id="rId27" Type="http://schemas.openxmlformats.org/officeDocument/2006/relationships/table" Target="../tables/table176.xml"/><Relationship Id="rId19" Type="http://schemas.openxmlformats.org/officeDocument/2006/relationships/table" Target="../tables/table168.xml"/><Relationship Id="rId18" Type="http://schemas.openxmlformats.org/officeDocument/2006/relationships/table" Target="../tables/table167.xml"/><Relationship Id="rId29" Type="http://schemas.openxmlformats.org/officeDocument/2006/relationships/table" Target="../tables/table1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28.71"/>
    <col customWidth="1" min="3" max="3" width="36.86"/>
    <col customWidth="1" min="4" max="6" width="8.71"/>
  </cols>
  <sheetData>
    <row r="2" ht="26.25" customHeight="1">
      <c r="B2" s="1" t="s">
        <v>0</v>
      </c>
      <c r="C2" s="2"/>
    </row>
    <row r="3" ht="15.75" customHeight="1"/>
    <row r="4" ht="51.75" customHeight="1">
      <c r="B4" s="3" t="s">
        <v>1</v>
      </c>
      <c r="C4" s="4"/>
    </row>
    <row r="7" ht="21.0" customHeight="1">
      <c r="B7" s="5" t="s">
        <v>2</v>
      </c>
      <c r="C7" s="6"/>
    </row>
    <row r="9" ht="21.0" customHeight="1">
      <c r="B9" s="7" t="s">
        <v>3</v>
      </c>
    </row>
    <row r="11">
      <c r="B11" s="8" t="s">
        <v>4</v>
      </c>
    </row>
    <row r="12">
      <c r="B12" s="9" t="s">
        <v>5</v>
      </c>
    </row>
    <row r="13">
      <c r="B13" s="9" t="s">
        <v>6</v>
      </c>
    </row>
    <row r="14">
      <c r="B14" s="9" t="s">
        <v>7</v>
      </c>
    </row>
    <row r="15">
      <c r="B15" s="9" t="s">
        <v>8</v>
      </c>
    </row>
    <row r="16">
      <c r="B16" s="10" t="s">
        <v>9</v>
      </c>
    </row>
    <row r="17">
      <c r="B17" s="9" t="s">
        <v>10</v>
      </c>
    </row>
    <row r="18">
      <c r="B18" s="9" t="s">
        <v>10</v>
      </c>
    </row>
    <row r="19">
      <c r="B19" s="9" t="s">
        <v>10</v>
      </c>
    </row>
    <row r="20">
      <c r="B20" s="9" t="s">
        <v>10</v>
      </c>
    </row>
    <row r="21" ht="15.75" customHeight="1"/>
    <row r="22" ht="21.0" customHeight="1">
      <c r="B22" s="11" t="s">
        <v>11</v>
      </c>
    </row>
    <row r="23" ht="15.75" customHeight="1"/>
    <row r="24" ht="15.75" customHeight="1">
      <c r="B24" s="8" t="s">
        <v>12</v>
      </c>
    </row>
    <row r="25" ht="15.75" customHeight="1">
      <c r="B25" s="9" t="s">
        <v>13</v>
      </c>
    </row>
    <row r="26" ht="15.75" customHeight="1">
      <c r="B26" s="10" t="s">
        <v>14</v>
      </c>
    </row>
    <row r="27" ht="15.75" customHeight="1">
      <c r="B27" s="10" t="s">
        <v>10</v>
      </c>
    </row>
    <row r="28" ht="15.75" customHeight="1">
      <c r="B28" s="10" t="s">
        <v>10</v>
      </c>
    </row>
    <row r="29" ht="15.75" customHeight="1">
      <c r="B29" s="10" t="s">
        <v>10</v>
      </c>
    </row>
    <row r="30" ht="15.75" customHeight="1">
      <c r="B30" s="9" t="s">
        <v>10</v>
      </c>
    </row>
    <row r="31" ht="15.75" customHeight="1">
      <c r="B31" s="9" t="s">
        <v>10</v>
      </c>
    </row>
    <row r="32" ht="15.75" customHeight="1">
      <c r="B32" s="12"/>
    </row>
    <row r="33" ht="15.75" customHeight="1">
      <c r="B33" s="8" t="s">
        <v>15</v>
      </c>
    </row>
    <row r="34" ht="15.75" customHeight="1">
      <c r="B34" s="9" t="s">
        <v>16</v>
      </c>
    </row>
    <row r="35" ht="15.75" customHeight="1">
      <c r="B35" s="9" t="s">
        <v>17</v>
      </c>
    </row>
    <row r="36" ht="15.75" customHeight="1">
      <c r="B36" s="9" t="s">
        <v>18</v>
      </c>
    </row>
    <row r="37" ht="15.75" customHeight="1">
      <c r="B37" s="9" t="s">
        <v>19</v>
      </c>
    </row>
    <row r="38" ht="15.75" customHeight="1">
      <c r="B38" s="9" t="s">
        <v>10</v>
      </c>
    </row>
    <row r="39" ht="15.75" customHeight="1">
      <c r="B39" s="9" t="s">
        <v>10</v>
      </c>
    </row>
    <row r="40" ht="15.75" customHeight="1">
      <c r="B40" s="13"/>
    </row>
    <row r="41" ht="15.75" customHeight="1">
      <c r="B41" s="8" t="s">
        <v>20</v>
      </c>
    </row>
    <row r="42" ht="15.75" customHeight="1">
      <c r="B42" s="9" t="s">
        <v>21</v>
      </c>
    </row>
    <row r="43" ht="15.75" customHeight="1">
      <c r="B43" s="9" t="s">
        <v>22</v>
      </c>
    </row>
    <row r="44" ht="15.75" customHeight="1">
      <c r="B44" s="9" t="s">
        <v>23</v>
      </c>
    </row>
    <row r="45" ht="15.75" customHeight="1">
      <c r="B45" s="9" t="s">
        <v>24</v>
      </c>
    </row>
    <row r="46" ht="15.75" customHeight="1">
      <c r="B46" s="9" t="s">
        <v>25</v>
      </c>
    </row>
    <row r="47" ht="15.75" customHeight="1">
      <c r="B47" s="9" t="s">
        <v>26</v>
      </c>
    </row>
    <row r="48" ht="15.75" customHeight="1">
      <c r="B48" s="9" t="s">
        <v>27</v>
      </c>
    </row>
    <row r="49" ht="15.75" customHeight="1">
      <c r="B49" s="10" t="s">
        <v>10</v>
      </c>
    </row>
    <row r="50" ht="15.75" customHeight="1">
      <c r="B50" s="9" t="s">
        <v>10</v>
      </c>
    </row>
    <row r="51" ht="15.75" customHeight="1">
      <c r="B51" s="9" t="s">
        <v>10</v>
      </c>
    </row>
    <row r="52" ht="15.75" customHeight="1">
      <c r="B52" s="9" t="s">
        <v>10</v>
      </c>
    </row>
    <row r="53" ht="15.75" customHeight="1">
      <c r="B53" s="13"/>
    </row>
    <row r="54" ht="15.75" customHeight="1">
      <c r="B54" s="8" t="s">
        <v>28</v>
      </c>
    </row>
    <row r="55" ht="15.75" customHeight="1">
      <c r="B55" s="9" t="s">
        <v>29</v>
      </c>
    </row>
    <row r="56" ht="15.75" customHeight="1">
      <c r="B56" s="9" t="s">
        <v>30</v>
      </c>
    </row>
    <row r="57" ht="15.75" customHeight="1">
      <c r="B57" s="9" t="s">
        <v>31</v>
      </c>
    </row>
    <row r="58" ht="15.75" customHeight="1">
      <c r="B58" s="9" t="s">
        <v>32</v>
      </c>
    </row>
    <row r="59" ht="15.75" customHeight="1">
      <c r="B59" s="9" t="s">
        <v>33</v>
      </c>
    </row>
    <row r="60" ht="15.75" customHeight="1">
      <c r="B60" s="9" t="s">
        <v>34</v>
      </c>
    </row>
    <row r="61" ht="15.75" customHeight="1">
      <c r="B61" s="9" t="s">
        <v>10</v>
      </c>
    </row>
    <row r="62" ht="15.75" customHeight="1">
      <c r="B62" s="9" t="s">
        <v>10</v>
      </c>
    </row>
    <row r="63" ht="15.75" customHeight="1">
      <c r="B63" s="13"/>
    </row>
    <row r="64" ht="15.75" customHeight="1">
      <c r="B64" s="8" t="s">
        <v>35</v>
      </c>
    </row>
    <row r="65" ht="15.75" customHeight="1">
      <c r="B65" s="9" t="s">
        <v>36</v>
      </c>
    </row>
    <row r="66" ht="15.75" customHeight="1">
      <c r="B66" s="9" t="s">
        <v>37</v>
      </c>
    </row>
    <row r="67" ht="15.75" customHeight="1">
      <c r="B67" s="9" t="s">
        <v>38</v>
      </c>
    </row>
    <row r="68" ht="15.75" customHeight="1">
      <c r="B68" s="10" t="s">
        <v>10</v>
      </c>
    </row>
    <row r="69" ht="15.75" customHeight="1">
      <c r="B69" s="10" t="s">
        <v>10</v>
      </c>
    </row>
    <row r="70" ht="15.75" customHeight="1">
      <c r="B70" s="10" t="s">
        <v>10</v>
      </c>
    </row>
    <row r="71" ht="15.75" customHeight="1">
      <c r="B71" s="9" t="s">
        <v>10</v>
      </c>
    </row>
    <row r="72" ht="15.75" customHeight="1">
      <c r="B72" s="9" t="s">
        <v>10</v>
      </c>
    </row>
    <row r="73" ht="15.75" customHeight="1">
      <c r="B73" s="9" t="s">
        <v>10</v>
      </c>
    </row>
    <row r="74" ht="15.75" customHeight="1">
      <c r="B74" s="14"/>
    </row>
    <row r="75" ht="15.75" customHeight="1">
      <c r="B75" s="8" t="s">
        <v>39</v>
      </c>
    </row>
    <row r="76" ht="15.75" customHeight="1">
      <c r="B76" s="9" t="s">
        <v>40</v>
      </c>
    </row>
    <row r="77" ht="15.75" customHeight="1">
      <c r="B77" s="10" t="s">
        <v>41</v>
      </c>
    </row>
    <row r="78" ht="15.75" customHeight="1">
      <c r="B78" s="9" t="s">
        <v>42</v>
      </c>
    </row>
    <row r="79" ht="15.75" customHeight="1">
      <c r="B79" s="10" t="s">
        <v>43</v>
      </c>
    </row>
    <row r="80" ht="15.75" customHeight="1">
      <c r="B80" s="9" t="s">
        <v>44</v>
      </c>
    </row>
    <row r="81" ht="15.75" customHeight="1">
      <c r="B81" s="10" t="s">
        <v>45</v>
      </c>
    </row>
    <row r="82" ht="15.75" customHeight="1">
      <c r="B82" s="10" t="s">
        <v>10</v>
      </c>
    </row>
    <row r="83" ht="15.75" customHeight="1">
      <c r="B83" s="10" t="s">
        <v>10</v>
      </c>
    </row>
    <row r="84" ht="15.75" customHeight="1">
      <c r="B84" s="9" t="s">
        <v>10</v>
      </c>
    </row>
    <row r="85" ht="15.75" customHeight="1">
      <c r="B85" s="14"/>
    </row>
    <row r="86" ht="15.75" customHeight="1">
      <c r="B86" s="8" t="s">
        <v>46</v>
      </c>
    </row>
    <row r="87" ht="15.75" customHeight="1">
      <c r="B87" s="9" t="s">
        <v>47</v>
      </c>
    </row>
    <row r="88" ht="15.75" customHeight="1">
      <c r="B88" s="9" t="s">
        <v>48</v>
      </c>
    </row>
    <row r="89" ht="15.75" customHeight="1">
      <c r="B89" s="9" t="s">
        <v>49</v>
      </c>
    </row>
    <row r="90" ht="15.75" customHeight="1">
      <c r="B90" s="9" t="s">
        <v>50</v>
      </c>
    </row>
    <row r="91" ht="15.75" customHeight="1">
      <c r="B91" s="9" t="s">
        <v>34</v>
      </c>
    </row>
    <row r="92" ht="15.75" customHeight="1">
      <c r="B92" s="9" t="s">
        <v>10</v>
      </c>
    </row>
    <row r="93" ht="15.75" customHeight="1">
      <c r="B93" s="9" t="s">
        <v>10</v>
      </c>
    </row>
    <row r="94" ht="15.75" customHeight="1">
      <c r="B94" s="15"/>
    </row>
    <row r="95" ht="15.75" customHeight="1">
      <c r="B95" s="8" t="s">
        <v>51</v>
      </c>
    </row>
    <row r="96" ht="15.75" customHeight="1">
      <c r="B96" s="9" t="s">
        <v>52</v>
      </c>
    </row>
    <row r="97" ht="15.75" customHeight="1">
      <c r="B97" s="10" t="s">
        <v>10</v>
      </c>
    </row>
    <row r="98" ht="15.75" customHeight="1">
      <c r="B98" s="9" t="s">
        <v>10</v>
      </c>
    </row>
    <row r="99" ht="15.75" customHeight="1">
      <c r="B99" s="9" t="s">
        <v>10</v>
      </c>
    </row>
    <row r="100" ht="15.75" customHeight="1">
      <c r="B100" s="9" t="s">
        <v>10</v>
      </c>
    </row>
    <row r="101" ht="15.75" customHeight="1">
      <c r="B101" s="9" t="s">
        <v>10</v>
      </c>
    </row>
    <row r="102" ht="15.75" customHeight="1">
      <c r="B102" s="9" t="s">
        <v>10</v>
      </c>
    </row>
    <row r="103" ht="15.75" customHeight="1">
      <c r="B103" s="9" t="s">
        <v>10</v>
      </c>
    </row>
    <row r="104" ht="15.75" customHeight="1">
      <c r="B104" s="15"/>
    </row>
    <row r="105" ht="15.75" customHeight="1">
      <c r="B105" s="8" t="s">
        <v>53</v>
      </c>
    </row>
    <row r="106" ht="15.75" customHeight="1">
      <c r="B106" s="9" t="s">
        <v>54</v>
      </c>
    </row>
    <row r="107" ht="15.75" customHeight="1">
      <c r="B107" s="9" t="s">
        <v>55</v>
      </c>
    </row>
    <row r="108" ht="15.75" customHeight="1">
      <c r="B108" s="9" t="s">
        <v>56</v>
      </c>
    </row>
    <row r="109" ht="15.75" customHeight="1">
      <c r="B109" s="9" t="s">
        <v>57</v>
      </c>
    </row>
    <row r="110" ht="15.75" customHeight="1">
      <c r="B110" s="9" t="s">
        <v>58</v>
      </c>
    </row>
    <row r="111" ht="15.75" customHeight="1">
      <c r="B111" s="10" t="s">
        <v>59</v>
      </c>
    </row>
    <row r="112" ht="15.75" customHeight="1">
      <c r="B112" s="15"/>
    </row>
    <row r="113" ht="15.75" customHeight="1">
      <c r="B113" s="8" t="s">
        <v>60</v>
      </c>
    </row>
    <row r="114" ht="15.75" customHeight="1">
      <c r="B114" s="9" t="s">
        <v>61</v>
      </c>
    </row>
    <row r="115" ht="15.75" customHeight="1">
      <c r="B115" s="9" t="s">
        <v>62</v>
      </c>
    </row>
    <row r="116" ht="15.75" customHeight="1">
      <c r="B116" s="9" t="s">
        <v>10</v>
      </c>
    </row>
    <row r="117" ht="15.75" customHeight="1">
      <c r="B117" s="9" t="s">
        <v>10</v>
      </c>
    </row>
    <row r="118" ht="15.75" customHeight="1">
      <c r="B118" s="9" t="s">
        <v>10</v>
      </c>
    </row>
    <row r="119" ht="15.75" customHeight="1">
      <c r="B119" s="9" t="s">
        <v>10</v>
      </c>
    </row>
    <row r="120" ht="15.75" customHeight="1">
      <c r="B120" s="9" t="s">
        <v>10</v>
      </c>
    </row>
    <row r="121" ht="15.75" customHeight="1">
      <c r="B121" s="9" t="s">
        <v>10</v>
      </c>
    </row>
    <row r="122" ht="15.75" customHeight="1">
      <c r="B122" s="9" t="s">
        <v>10</v>
      </c>
    </row>
    <row r="123" ht="15.75" customHeight="1">
      <c r="B123" s="15" t="s">
        <v>63</v>
      </c>
    </row>
    <row r="124" ht="15.75" customHeight="1">
      <c r="B124" s="8" t="s">
        <v>64</v>
      </c>
    </row>
    <row r="125" ht="15.75" customHeight="1">
      <c r="B125" s="10" t="s">
        <v>65</v>
      </c>
    </row>
    <row r="126" ht="15.75" customHeight="1">
      <c r="B126" s="10" t="s">
        <v>66</v>
      </c>
    </row>
    <row r="127" ht="15.75" customHeight="1">
      <c r="B127" s="10" t="s">
        <v>10</v>
      </c>
    </row>
    <row r="128" ht="15.75" customHeight="1">
      <c r="B128" s="10" t="s">
        <v>10</v>
      </c>
    </row>
    <row r="129" ht="15.75" customHeight="1">
      <c r="B129" s="9" t="s">
        <v>10</v>
      </c>
    </row>
    <row r="130" ht="15.75" customHeight="1">
      <c r="B130" s="9" t="s">
        <v>10</v>
      </c>
    </row>
    <row r="131" ht="15.75" customHeight="1">
      <c r="B131" s="9" t="s">
        <v>10</v>
      </c>
    </row>
    <row r="132" ht="15.75" customHeight="1">
      <c r="B132" s="9" t="s">
        <v>10</v>
      </c>
    </row>
    <row r="133" ht="15.75" customHeight="1">
      <c r="B133" s="13"/>
    </row>
    <row r="134" ht="15.75" customHeight="1">
      <c r="B134" s="8" t="s">
        <v>67</v>
      </c>
    </row>
    <row r="135" ht="15.75" customHeight="1">
      <c r="B135" s="9" t="s">
        <v>68</v>
      </c>
    </row>
    <row r="136" ht="15.75" customHeight="1">
      <c r="B136" s="9" t="s">
        <v>69</v>
      </c>
    </row>
    <row r="137" ht="15.75" customHeight="1">
      <c r="B137" s="9" t="s">
        <v>70</v>
      </c>
    </row>
    <row r="138" ht="15.75" customHeight="1">
      <c r="B138" s="9" t="s">
        <v>71</v>
      </c>
    </row>
    <row r="139" ht="15.75" customHeight="1">
      <c r="B139" s="9" t="s">
        <v>10</v>
      </c>
    </row>
    <row r="140" ht="15.75" customHeight="1">
      <c r="B140" s="9" t="s">
        <v>10</v>
      </c>
    </row>
    <row r="141" ht="15.75" customHeight="1">
      <c r="B141" s="9" t="s">
        <v>10</v>
      </c>
    </row>
    <row r="142" ht="15.75" customHeight="1">
      <c r="B142" s="9" t="s">
        <v>10</v>
      </c>
    </row>
    <row r="143" ht="15.75" customHeight="1">
      <c r="B143" s="15"/>
    </row>
    <row r="144" ht="15.75" customHeight="1">
      <c r="B144" s="8" t="s">
        <v>72</v>
      </c>
    </row>
    <row r="145" ht="15.75" customHeight="1">
      <c r="B145" s="10" t="s">
        <v>73</v>
      </c>
    </row>
    <row r="146" ht="15.75" customHeight="1">
      <c r="B146" s="9" t="s">
        <v>10</v>
      </c>
    </row>
    <row r="147" ht="15.75" customHeight="1">
      <c r="B147" s="9" t="s">
        <v>10</v>
      </c>
    </row>
    <row r="148" ht="15.75" customHeight="1">
      <c r="B148" s="9" t="s">
        <v>10</v>
      </c>
    </row>
    <row r="149" ht="15.75" customHeight="1">
      <c r="B149" s="9" t="s">
        <v>10</v>
      </c>
    </row>
    <row r="150" ht="15.75" customHeight="1">
      <c r="B150" s="9" t="s">
        <v>10</v>
      </c>
    </row>
    <row r="151" ht="15.75" customHeight="1">
      <c r="B151" s="9" t="s">
        <v>10</v>
      </c>
    </row>
    <row r="152" ht="15.75" customHeight="1">
      <c r="B152" s="9" t="s">
        <v>10</v>
      </c>
    </row>
    <row r="153" ht="15.75" customHeight="1">
      <c r="B153" s="9" t="s">
        <v>10</v>
      </c>
    </row>
    <row r="154" ht="15.75" customHeight="1">
      <c r="B154" s="9" t="s">
        <v>10</v>
      </c>
    </row>
    <row r="155" ht="15.75" customHeight="1">
      <c r="B155" s="16"/>
    </row>
    <row r="156" ht="15.75" customHeight="1">
      <c r="B156" s="8" t="s">
        <v>74</v>
      </c>
    </row>
    <row r="157" ht="15.75" customHeight="1">
      <c r="B157" s="9" t="s">
        <v>10</v>
      </c>
    </row>
    <row r="158" ht="15.75" customHeight="1">
      <c r="B158" s="9" t="s">
        <v>10</v>
      </c>
    </row>
    <row r="159" ht="15.75" customHeight="1">
      <c r="B159" s="9" t="s">
        <v>10</v>
      </c>
    </row>
    <row r="160" ht="15.75" customHeight="1">
      <c r="B160" s="9" t="s">
        <v>10</v>
      </c>
    </row>
    <row r="161" ht="15.75" customHeight="1">
      <c r="B161" s="9" t="s">
        <v>10</v>
      </c>
    </row>
    <row r="162" ht="15.75" customHeight="1">
      <c r="B162" s="9" t="s">
        <v>10</v>
      </c>
    </row>
    <row r="163" ht="15.75" customHeight="1">
      <c r="B163" s="9" t="s">
        <v>10</v>
      </c>
    </row>
    <row r="164" ht="15.75" customHeight="1">
      <c r="B164" s="9" t="s">
        <v>10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4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26" width="9.14"/>
  </cols>
  <sheetData>
    <row r="1">
      <c r="B1" s="12"/>
    </row>
    <row r="2" ht="23.25" customHeight="1">
      <c r="B2" s="17" t="s">
        <v>75</v>
      </c>
      <c r="C2" s="18" t="s">
        <v>76</v>
      </c>
      <c r="D2" s="19"/>
    </row>
    <row r="4" ht="60.75" customHeight="1">
      <c r="C4" s="20" t="s">
        <v>77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467281.6</v>
      </c>
      <c r="D9" s="29">
        <f t="shared" si="1"/>
        <v>324561.2</v>
      </c>
      <c r="E9" s="29">
        <f t="shared" si="1"/>
        <v>-142720.4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467281.6</v>
      </c>
      <c r="D11" s="31">
        <f t="shared" si="2"/>
        <v>324561.2</v>
      </c>
      <c r="E11" s="31">
        <f t="shared" si="2"/>
        <v>-142720.4</v>
      </c>
      <c r="F11" s="32"/>
    </row>
    <row r="12">
      <c r="B12" s="9" t="str">
        <f>Categorias!B12</f>
        <v>Nomina</v>
      </c>
      <c r="C12" s="33">
        <f>Enero!C12+Febrero!C12+Marzo!C12+Abril!C12+Mayo!C12+Junio!C12+Julio!C12+Agosto!C12+Septiembre!C12+Octubre!C12+Noviembre!C12+Diciembre!C12</f>
        <v>442881.6</v>
      </c>
      <c r="D12" s="33">
        <f>Enero!D12+Febrero!D12+Marzo!D12+Abril!D12+Mayo!D12+Junio!D12+Julio!D12+Agosto!D12+Septiembre!D12+Octubre!D12+Noviembre!D12+Diciembre!D12</f>
        <v>308161.2</v>
      </c>
      <c r="E12" s="33">
        <f t="shared" ref="E12:E20" si="3">D12-C12</f>
        <v>-134720.4</v>
      </c>
      <c r="F12" s="34"/>
    </row>
    <row r="13">
      <c r="B13" s="9" t="str">
        <f>Categorias!B13</f>
        <v>Aguinaldo</v>
      </c>
      <c r="C13" s="33">
        <f>Enero!C13+Febrero!C13+Marzo!C13+Abril!C13+Mayo!C13+Junio!C13+Julio!C13+Agosto!C13+Septiembre!C13+Octubre!C13+Noviembre!C13+Diciembre!C13</f>
        <v>15000</v>
      </c>
      <c r="D13" s="33">
        <f>Enero!D13+Febrero!D13+Marzo!D13+Abril!D13+Mayo!D13+Junio!D13+Julio!D13+Agosto!D13+Septiembre!D13+Octubre!D13+Noviembre!D13+Diciembre!D13</f>
        <v>10000</v>
      </c>
      <c r="E13" s="33">
        <f t="shared" si="3"/>
        <v>-5000</v>
      </c>
      <c r="F13" s="34"/>
    </row>
    <row r="14">
      <c r="B14" s="9" t="str">
        <f>Categorias!B14</f>
        <v>Fondo de ahorro</v>
      </c>
      <c r="C14" s="33">
        <f>Enero!C14+Febrero!C14+Marzo!C14+Abril!C14+Mayo!C14+Junio!C14+Julio!C14+Agosto!C14+Septiembre!C14+Octubre!C14+Noviembre!C14+Diciembre!C14</f>
        <v>0</v>
      </c>
      <c r="D14" s="33">
        <f>Enero!D14+Febrero!D14+Marzo!D14+Abril!D14+Mayo!D14+Junio!D14+Julio!D14+Agosto!D14+Septiembre!D14+Octubre!D14+Noviembre!D14+Diciembre!D14</f>
        <v>0</v>
      </c>
      <c r="E14" s="33">
        <f t="shared" si="3"/>
        <v>0</v>
      </c>
      <c r="F14" s="34"/>
    </row>
    <row r="15">
      <c r="B15" s="9" t="str">
        <f>Categorias!B15</f>
        <v>Vales despensa</v>
      </c>
      <c r="C15" s="33">
        <f>Enero!C15+Febrero!C15+Marzo!C15+Abril!C15+Mayo!C15+Junio!C15+Julio!C15+Agosto!C15+Septiembre!C15+Octubre!C15+Noviembre!C15+Diciembre!C15</f>
        <v>9400</v>
      </c>
      <c r="D15" s="33">
        <f>Enero!D15+Febrero!D15+Marzo!D15+Abril!D15+Mayo!D15+Junio!D15+Julio!D15+Agosto!D15+Septiembre!D15+Octubre!D15+Noviembre!D15+Diciembre!D15</f>
        <v>6400</v>
      </c>
      <c r="E15" s="33">
        <f t="shared" si="3"/>
        <v>-3000</v>
      </c>
      <c r="F15" s="34"/>
    </row>
    <row r="16">
      <c r="B16" s="9" t="str">
        <f>Categorias!B16</f>
        <v>Vales comedor</v>
      </c>
      <c r="C16" s="33">
        <f>Enero!C16+Febrero!C16+Marzo!C16+Abril!C16+Mayo!C16+Junio!C16+Julio!C16+Agosto!C16+Septiembre!C16+Octubre!C16+Noviembre!C16+Diciembre!C16</f>
        <v>0</v>
      </c>
      <c r="D16" s="33">
        <f>Enero!D16+Febrero!D16+Marzo!D16+Abril!D16+Mayo!D16+Junio!D16+Julio!D16+Agosto!D16+Septiembre!D16+Octubre!D16+Noviembre!D16+Diciembre!D16</f>
        <v>0</v>
      </c>
      <c r="E16" s="33">
        <f t="shared" si="3"/>
        <v>0</v>
      </c>
      <c r="F16" s="34"/>
    </row>
    <row r="17">
      <c r="B17" s="9" t="str">
        <f>Categorias!B17</f>
        <v>-</v>
      </c>
      <c r="C17" s="33">
        <f>Enero!C17+Febrero!C17+Marzo!C17+Abril!C17+Mayo!C17+Junio!C17+Julio!C17+Agosto!C17+Septiembre!C17+Octubre!C17+Noviembre!C17+Diciembre!C17</f>
        <v>0</v>
      </c>
      <c r="D17" s="33">
        <f>Enero!D17+Febrero!D17+Marzo!D17+Abril!D17+Mayo!D17+Junio!D17+Julio!D17+Agosto!D17+Septiembre!D17+Octubre!D17+Noviembre!D17+Diciembre!D17</f>
        <v>0</v>
      </c>
      <c r="E17" s="33">
        <f t="shared" si="3"/>
        <v>0</v>
      </c>
      <c r="F17" s="34"/>
    </row>
    <row r="18">
      <c r="B18" s="9" t="str">
        <f>Categorias!B18</f>
        <v>-</v>
      </c>
      <c r="C18" s="33">
        <f>Enero!C18+Febrero!C18+Marzo!C18+Abril!C18+Mayo!C18+Junio!C18+Julio!C18+Agosto!C18+Septiembre!C18+Octubre!C18+Noviembre!C18+Diciembre!C18</f>
        <v>0</v>
      </c>
      <c r="D18" s="33">
        <f>Enero!D18+Febrero!D18+Marzo!D18+Abril!D18+Mayo!D18+Junio!D18+Julio!D18+Agosto!D18+Septiembre!D18+Octubre!D18+Noviembre!D18+Diciembre!D18</f>
        <v>0</v>
      </c>
      <c r="E18" s="33">
        <f t="shared" si="3"/>
        <v>0</v>
      </c>
      <c r="F18" s="34"/>
    </row>
    <row r="19">
      <c r="B19" s="9" t="str">
        <f>Categorias!B19</f>
        <v>-</v>
      </c>
      <c r="C19" s="33">
        <f>Enero!C19+Febrero!C19+Marzo!C19+Abril!C19+Mayo!C19+Junio!C19+Julio!C19+Agosto!C19+Septiembre!C19+Octubre!C19+Noviembre!C19+Diciembre!C19</f>
        <v>0</v>
      </c>
      <c r="D19" s="33">
        <f>Enero!D19+Febrero!D19+Marzo!D19+Abril!D19+Mayo!D19+Junio!D19+Julio!D19+Agosto!D19+Septiembre!D19+Octubre!D19+Noviembre!D19+Diciembre!D19</f>
        <v>0</v>
      </c>
      <c r="E19" s="33">
        <f t="shared" si="3"/>
        <v>0</v>
      </c>
      <c r="F19" s="34"/>
    </row>
    <row r="20">
      <c r="B20" s="9" t="str">
        <f>Categorias!B20</f>
        <v>-</v>
      </c>
      <c r="C20" s="33">
        <f>Enero!C20+Febrero!C20+Marzo!C20+Abril!C20+Mayo!C20+Junio!C20+Julio!C20+Agosto!C20+Septiembre!C20+Octubre!C20+Noviembre!C20+Diciembre!C20</f>
        <v>0</v>
      </c>
      <c r="D20" s="33">
        <f>Enero!D20+Febrero!D20+Marzo!D20+Abril!D20+Mayo!D20+Junio!D20+Julio!D20+Agosto!D20+Septiembre!D20+Octubre!D20+Noviembre!D20+Diciembre!D20</f>
        <v>0</v>
      </c>
      <c r="E20" s="33">
        <f t="shared" si="3"/>
        <v>0</v>
      </c>
      <c r="F20" s="34"/>
    </row>
    <row r="21" ht="15.75" customHeight="1">
      <c r="B21" s="14"/>
    </row>
    <row r="22" ht="15.75" customHeight="1">
      <c r="B22" s="14"/>
    </row>
    <row r="23" ht="21.0" customHeight="1">
      <c r="B23" s="35" t="s">
        <v>11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</row>
    <row r="26" ht="19.5" customHeight="1">
      <c r="B26" s="37" t="s">
        <v>84</v>
      </c>
      <c r="C26" s="38">
        <f t="shared" ref="C26:E26" si="4">C28+C37+C45+C58+C68+C77+C88+C97+C107+C115+C126+C136+C146+C158</f>
        <v>322192.45</v>
      </c>
      <c r="D26" s="38">
        <f t="shared" si="4"/>
        <v>304907.15</v>
      </c>
      <c r="E26" s="38">
        <f t="shared" si="4"/>
        <v>17285.3</v>
      </c>
      <c r="F26" s="30"/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29000</v>
      </c>
      <c r="D28" s="31">
        <f t="shared" si="5"/>
        <v>44168.02</v>
      </c>
      <c r="E28" s="31">
        <f t="shared" si="5"/>
        <v>-15168.02</v>
      </c>
      <c r="F28" s="32"/>
    </row>
    <row r="29" ht="15.75" customHeight="1">
      <c r="B29" s="9" t="str">
        <f>Categorias!B25</f>
        <v>Restaurantes</v>
      </c>
      <c r="C29" s="33">
        <f>Enero!C29+Febrero!C29+Marzo!C29+Abril!C29+Mayo!C29+Junio!C29+Julio!C29+Agosto!C29+Septiembre!C29+Octubre!C29+Noviembre!C29+Diciembre!C29</f>
        <v>20500</v>
      </c>
      <c r="D29" s="33">
        <f>Enero!D29+Febrero!D29+Marzo!D29+Abril!D29+Mayo!D29+Junio!D29+Julio!D29+Agosto!D29+Septiembre!D29+Octubre!D29+Noviembre!D29+Diciembre!D29</f>
        <v>34421.82</v>
      </c>
      <c r="E29" s="33">
        <f t="shared" ref="E29:E35" si="6">C29-D29</f>
        <v>-13921.82</v>
      </c>
      <c r="F29" s="34"/>
    </row>
    <row r="30" ht="15.75" customHeight="1">
      <c r="B30" s="9" t="str">
        <f>Categorias!B26</f>
        <v>Comida Carlos</v>
      </c>
      <c r="C30" s="33">
        <f>Enero!C30+Febrero!C30+Marzo!C30+Abril!C30+Mayo!C30+Junio!C30+Julio!C30+Agosto!C30+Septiembre!C30+Octubre!C30+Noviembre!C30+Diciembre!C30</f>
        <v>6500</v>
      </c>
      <c r="D30" s="33">
        <f>Enero!D30+Febrero!D30+Marzo!D30+Abril!D30+Mayo!D30+Junio!D30+Julio!D30+Agosto!D30+Septiembre!D30+Octubre!D30+Noviembre!D30+Diciembre!D30</f>
        <v>6362.6</v>
      </c>
      <c r="E30" s="33">
        <f t="shared" si="6"/>
        <v>137.4</v>
      </c>
      <c r="F30" s="34"/>
    </row>
    <row r="31" ht="15.75" customHeight="1">
      <c r="B31" s="9" t="str">
        <f>Categorias!B27</f>
        <v>-</v>
      </c>
      <c r="C31" s="33">
        <f>Enero!C31+Febrero!C31+Marzo!C31+Abril!C31+Mayo!C31+Junio!C31+Julio!C31+Agosto!C31+Septiembre!C31+Octubre!C31+Noviembre!C31+Diciembre!C31</f>
        <v>1000</v>
      </c>
      <c r="D31" s="33">
        <f>Enero!D31+Febrero!D31+Marzo!D31+Abril!D31+Mayo!D31+Junio!D31+Julio!D31+Agosto!D31+Septiembre!D31+Octubre!D31+Noviembre!D31+Diciembre!D31</f>
        <v>505.6</v>
      </c>
      <c r="E31" s="33">
        <f t="shared" si="6"/>
        <v>494.4</v>
      </c>
      <c r="F31" s="34"/>
    </row>
    <row r="32" ht="15.75" customHeight="1">
      <c r="B32" s="9" t="str">
        <f>Categorias!B28</f>
        <v>-</v>
      </c>
      <c r="C32" s="33">
        <f>Enero!C32+Febrero!C32+Marzo!C32+Abril!C32+Mayo!C32+Junio!C32+Julio!C32+Agosto!C32+Septiembre!C32+Octubre!C32+Noviembre!C32+Diciembre!C32</f>
        <v>1000</v>
      </c>
      <c r="D32" s="33">
        <f>Enero!D32+Febrero!D32+Marzo!D32+Abril!D32+Mayo!D32+Junio!D32+Julio!D32+Agosto!D32+Septiembre!D32+Octubre!D32+Noviembre!D32+Diciembre!D32</f>
        <v>1941</v>
      </c>
      <c r="E32" s="33">
        <f t="shared" si="6"/>
        <v>-941</v>
      </c>
      <c r="F32" s="34"/>
    </row>
    <row r="33" ht="15.75" customHeight="1">
      <c r="B33" s="9" t="str">
        <f>Categorias!B29</f>
        <v>-</v>
      </c>
      <c r="C33" s="33">
        <f>Enero!C33+Febrero!C33+Marzo!C33+Abril!C33+Mayo!C33+Junio!C33+Julio!C33+Agosto!C33+Septiembre!C33+Octubre!C33+Noviembre!C33+Diciembre!C33</f>
        <v>0</v>
      </c>
      <c r="D33" s="33">
        <f>Enero!D33+Febrero!D33+Marzo!D33+Abril!D33+Mayo!D33+Junio!D33+Julio!D33+Agosto!D33+Septiembre!D33+Octubre!D33+Noviembre!D33+Diciembre!D33</f>
        <v>657</v>
      </c>
      <c r="E33" s="33">
        <f t="shared" si="6"/>
        <v>-657</v>
      </c>
      <c r="F33" s="34"/>
    </row>
    <row r="34" ht="15.75" customHeight="1">
      <c r="B34" s="9" t="str">
        <f>Categorias!B30</f>
        <v>-</v>
      </c>
      <c r="C34" s="33">
        <f>Enero!C34+Febrero!C34+Marzo!C34+Abril!C34+Mayo!C34+Junio!C34+Julio!C34+Agosto!C34+Septiembre!C34+Octubre!C34+Noviembre!C34+Diciembre!C34</f>
        <v>0</v>
      </c>
      <c r="D34" s="33">
        <f>Enero!D34+Febrero!D34+Marzo!D34+Abril!D34+Mayo!D34+Junio!D34+Julio!D34+Agosto!D34+Septiembre!D34+Octubre!D34+Noviembre!D34+Diciembre!D34</f>
        <v>280</v>
      </c>
      <c r="E34" s="33">
        <f t="shared" si="6"/>
        <v>-280</v>
      </c>
      <c r="F34" s="34"/>
    </row>
    <row r="35" ht="15.75" customHeight="1">
      <c r="B35" s="9" t="str">
        <f>Categorias!B31</f>
        <v>-</v>
      </c>
      <c r="C35" s="33">
        <f>Enero!C35+Febrero!C35+Marzo!C35+Abril!C35+Mayo!C35+Junio!C35+Julio!C35+Agosto!C35+Septiembre!C35+Octubre!C35+Noviembre!C35+Diciembre!C35</f>
        <v>0</v>
      </c>
      <c r="D35" s="33">
        <f>Enero!D35+Febrero!D35+Marzo!D35+Abril!D35+Mayo!D35+Junio!D35+Julio!D35+Agosto!D35+Septiembre!D35+Octubre!D35+Noviembre!D35+Diciembre!D35</f>
        <v>0</v>
      </c>
      <c r="E35" s="33">
        <f t="shared" si="6"/>
        <v>0</v>
      </c>
      <c r="F35" s="34"/>
    </row>
    <row r="36" ht="15.75" customHeight="1">
      <c r="B36" s="12"/>
      <c r="C36" s="40"/>
      <c r="D36" s="40"/>
      <c r="E36" s="40"/>
    </row>
    <row r="37" ht="15.75" customHeight="1">
      <c r="B37" s="8" t="str">
        <f>Categorias!B33</f>
        <v>SALUD</v>
      </c>
      <c r="C37" s="31">
        <f>Enero!C37+Febrero!C37+Marzo!C37+Abril!C37+Mayo!C37+Junio!C37+Julio!C37+Agosto!C37+Septiembre!C37+Octubre!C37+Noviembre!C37+Diciembre!C37</f>
        <v>13500</v>
      </c>
      <c r="D37" s="31">
        <f>Enero!D37+Febrero!D37+Marzo!D37+Abril!D37+Mayo!D37+Junio!D37+Julio!D37+Agosto!D37+Septiembre!D37+Octubre!D37+Noviembre!D37+Diciembre!D37</f>
        <v>15428.4</v>
      </c>
      <c r="E37" s="31">
        <f>SUM(E38:E43)</f>
        <v>-1928.4</v>
      </c>
      <c r="F37" s="32"/>
    </row>
    <row r="38" ht="15.75" customHeight="1">
      <c r="B38" s="9" t="str">
        <f>Categorias!B34</f>
        <v>Gastos en médicos</v>
      </c>
      <c r="C38" s="33">
        <f>Enero!C38+Febrero!C38+Marzo!C38+Abril!C38+Mayo!C38+Junio!C38+Julio!C38+Agosto!C38+Septiembre!C38+Octubre!C38+Noviembre!C38+Diciembre!C38</f>
        <v>5000</v>
      </c>
      <c r="D38" s="33">
        <f>Enero!D38+Febrero!D38+Marzo!D38+Abril!D38+Mayo!D38+Junio!D38+Julio!D38+Agosto!D38+Septiembre!D38+Octubre!D38+Noviembre!D38+Diciembre!D38</f>
        <v>3080</v>
      </c>
      <c r="E38" s="33">
        <f t="shared" ref="E38:E43" si="7">C38-D38</f>
        <v>1920</v>
      </c>
      <c r="F38" s="34"/>
    </row>
    <row r="39" ht="15.75" customHeight="1">
      <c r="B39" s="9" t="str">
        <f>Categorias!B35</f>
        <v>Medicamentos</v>
      </c>
      <c r="C39" s="33">
        <f>Enero!C39+Febrero!C39+Marzo!C39+Abril!C39+Mayo!C39+Junio!C39+Julio!C39+Agosto!C39+Septiembre!C39+Octubre!C39+Noviembre!C39+Diciembre!C39</f>
        <v>2000</v>
      </c>
      <c r="D39" s="33">
        <f>Enero!D39+Febrero!D39+Marzo!D39+Abril!D39+Mayo!D39+Junio!D39+Julio!D39+Agosto!D39+Septiembre!D39+Octubre!D39+Noviembre!D39+Diciembre!D39</f>
        <v>11848.4</v>
      </c>
      <c r="E39" s="33">
        <f t="shared" si="7"/>
        <v>-9848.4</v>
      </c>
      <c r="F39" s="34"/>
    </row>
    <row r="40" ht="15.75" customHeight="1">
      <c r="B40" s="9" t="str">
        <f>Categorias!B36</f>
        <v>Dentista Kary</v>
      </c>
      <c r="C40" s="33">
        <f>Enero!C40+Febrero!C40+Marzo!C40+Abril!C40+Mayo!C40+Junio!C40+Julio!C40+Agosto!C40+Septiembre!C40+Octubre!C40+Noviembre!C40+Diciembre!C40</f>
        <v>4100</v>
      </c>
      <c r="D40" s="33">
        <f>Enero!D40+Febrero!D40+Marzo!D40+Abril!D40+Mayo!D40+Junio!D40+Julio!D40+Agosto!D40+Septiembre!D40+Octubre!D40+Noviembre!D40+Diciembre!D40</f>
        <v>500</v>
      </c>
      <c r="E40" s="33">
        <f t="shared" si="7"/>
        <v>3600</v>
      </c>
      <c r="F40" s="34"/>
    </row>
    <row r="41" ht="15.75" customHeight="1">
      <c r="B41" s="9" t="str">
        <f>Categorias!B37</f>
        <v>Dentista Thiago</v>
      </c>
      <c r="C41" s="33">
        <f>Enero!C41+Febrero!C41+Marzo!C41+Abril!C41+Mayo!C41+Junio!C41+Julio!C41+Agosto!C41+Septiembre!C41+Octubre!C41+Noviembre!C41+Diciembre!C41</f>
        <v>2400</v>
      </c>
      <c r="D41" s="33">
        <f>Enero!D41+Febrero!D41+Marzo!D41+Abril!D41+Mayo!D41+Junio!D41+Julio!D41+Agosto!D41+Septiembre!D41+Octubre!D41+Noviembre!D41+Diciembre!D41</f>
        <v>0</v>
      </c>
      <c r="E41" s="33">
        <f t="shared" si="7"/>
        <v>2400</v>
      </c>
      <c r="F41" s="34"/>
    </row>
    <row r="42" ht="15.75" customHeight="1">
      <c r="B42" s="9" t="str">
        <f>Categorias!B38</f>
        <v>-</v>
      </c>
      <c r="C42" s="33">
        <f>Enero!C42+Febrero!C42+Marzo!C42+Abril!C42+Mayo!C42+Junio!C42+Julio!C42+Agosto!C42+Septiembre!C42+Octubre!C42+Noviembre!C42+Diciembre!C42</f>
        <v>0</v>
      </c>
      <c r="D42" s="33">
        <f>Enero!D42+Febrero!D42+Marzo!D42+Abril!D42+Mayo!D42+Junio!D42+Julio!D42+Agosto!D42+Septiembre!D42+Octubre!D42+Noviembre!D42+Diciembre!D42</f>
        <v>0</v>
      </c>
      <c r="E42" s="33">
        <f t="shared" si="7"/>
        <v>0</v>
      </c>
      <c r="F42" s="34"/>
    </row>
    <row r="43" ht="15.75" customHeight="1">
      <c r="B43" s="9" t="str">
        <f>Categorias!B39</f>
        <v>-</v>
      </c>
      <c r="C43" s="41">
        <f>Enero!C43+Febrero!C43+Marzo!C43+Abril!C43+Mayo!C43+Junio!C43+Julio!C43+Agosto!C43+Septiembre!C43+Octubre!C43+Noviembre!C43+Diciembre!C43</f>
        <v>0</v>
      </c>
      <c r="D43" s="33">
        <f>Enero!D43+Febrero!D43+Marzo!D43+Abril!D43+Mayo!D43+Junio!D43+Julio!D43+Agosto!D43+Septiembre!D43+Octubre!D43+Noviembre!D43+Diciembre!D43</f>
        <v>0</v>
      </c>
      <c r="E43" s="33">
        <f t="shared" si="7"/>
        <v>0</v>
      </c>
      <c r="F43" s="34"/>
    </row>
    <row r="44" ht="15.75" customHeight="1">
      <c r="B44" s="13"/>
      <c r="C44" s="40"/>
      <c r="D44" s="40"/>
      <c r="E44" s="40"/>
    </row>
    <row r="45" ht="15.75" customHeight="1">
      <c r="B45" s="8" t="str">
        <f>Categorias!B41</f>
        <v>CASA</v>
      </c>
      <c r="C45" s="31">
        <f>Enero!C45+Febrero!C45+Marzo!C45+Abril!C45+Mayo!C45+Junio!C45+Julio!C45+Agosto!C45+Septiembre!C45+Octubre!C45+Noviembre!C45+Diciembre!C45</f>
        <v>108340</v>
      </c>
      <c r="D45" s="31">
        <f>Enero!D45+Febrero!D45+Marzo!D45+Abril!D45+Mayo!D45+Junio!D45+Julio!D45+Agosto!D45+Septiembre!D45+Octubre!D45+Noviembre!D45+Diciembre!D45</f>
        <v>106460</v>
      </c>
      <c r="E45" s="31">
        <f>SUM(E46:E56)</f>
        <v>1880</v>
      </c>
      <c r="F45" s="32"/>
    </row>
    <row r="46" ht="15.75" customHeight="1">
      <c r="B46" s="9" t="str">
        <f>Categorias!B42</f>
        <v>Reparación</v>
      </c>
      <c r="C46" s="33">
        <f>Enero!C46+Febrero!C46+Marzo!C46+Abril!C46+Mayo!C46+Junio!C46+Julio!C46+Agosto!C46+Septiembre!C46+Octubre!C46+Noviembre!C46+Diciembre!C46</f>
        <v>500</v>
      </c>
      <c r="D46" s="33">
        <f>Enero!D46+Febrero!D46+Marzo!D46+Abril!D46+Mayo!D46+Junio!D46+Julio!D46+Agosto!D46+Septiembre!D46+Octubre!D46+Noviembre!D46+Diciembre!D46</f>
        <v>24002</v>
      </c>
      <c r="E46" s="33">
        <f t="shared" ref="E46:E56" si="8">C46-D46</f>
        <v>-23502</v>
      </c>
      <c r="F46" s="34"/>
    </row>
    <row r="47" ht="15.75" customHeight="1">
      <c r="B47" s="9" t="str">
        <f>Categorias!B43</f>
        <v>Electricidad</v>
      </c>
      <c r="C47" s="33">
        <f>Enero!C47+Febrero!C47+Marzo!C47+Abril!C47+Mayo!C47+Junio!C47+Julio!C47+Agosto!C47+Septiembre!C47+Octubre!C47+Noviembre!C47+Diciembre!C47</f>
        <v>6700</v>
      </c>
      <c r="D47" s="33">
        <f>Enero!D47+Febrero!D47+Marzo!D47+Abril!D47+Mayo!D47+Junio!D47+Julio!D47+Agosto!D47+Septiembre!D47+Octubre!D47+Noviembre!D47+Diciembre!D47</f>
        <v>3553</v>
      </c>
      <c r="E47" s="33">
        <f t="shared" si="8"/>
        <v>3147</v>
      </c>
      <c r="F47" s="34"/>
    </row>
    <row r="48" ht="15.75" customHeight="1">
      <c r="B48" s="9" t="str">
        <f>Categorias!B44</f>
        <v>Gas</v>
      </c>
      <c r="C48" s="33">
        <f>Enero!C48+Febrero!C48+Marzo!C48+Abril!C48+Mayo!C48+Junio!C48+Julio!C48+Agosto!C48+Septiembre!C48+Octubre!C48+Noviembre!C48+Diciembre!C48</f>
        <v>2640</v>
      </c>
      <c r="D48" s="33">
        <f>Enero!D48+Febrero!D48+Marzo!D48+Abril!D48+Mayo!D48+Junio!D48+Julio!D48+Agosto!D48+Septiembre!D48+Octubre!D48+Noviembre!D48+Diciembre!D48</f>
        <v>850</v>
      </c>
      <c r="E48" s="33">
        <f t="shared" si="8"/>
        <v>1790</v>
      </c>
      <c r="F48" s="34"/>
    </row>
    <row r="49" ht="15.75" customHeight="1">
      <c r="B49" s="9" t="str">
        <f>Categorias!B45</f>
        <v>Casa Claudia</v>
      </c>
      <c r="C49" s="33">
        <f>Enero!C49+Febrero!C49+Marzo!C49+Abril!C49+Mayo!C49+Junio!C49+Julio!C49+Agosto!C49+Septiembre!C49+Octubre!C49+Noviembre!C49+Diciembre!C49</f>
        <v>12500</v>
      </c>
      <c r="D49" s="33">
        <f>Enero!D49+Febrero!D49+Marzo!D49+Abril!D49+Mayo!D49+Junio!D49+Julio!D49+Agosto!D49+Septiembre!D49+Octubre!D49+Noviembre!D49+Diciembre!D49</f>
        <v>8063</v>
      </c>
      <c r="E49" s="33">
        <f t="shared" si="8"/>
        <v>4437</v>
      </c>
      <c r="F49" s="34"/>
    </row>
    <row r="50" ht="15.75" customHeight="1">
      <c r="B50" s="9" t="str">
        <f>Categorias!B46</f>
        <v>Muebles/electrodomésticos</v>
      </c>
      <c r="C50" s="33">
        <f>Enero!C50+Febrero!C50+Marzo!C50+Abril!C50+Mayo!C50+Junio!C50+Julio!C50+Agosto!C50+Septiembre!C50+Octubre!C50+Noviembre!C50+Diciembre!C50</f>
        <v>0</v>
      </c>
      <c r="D50" s="33">
        <f>Enero!D50+Febrero!D50+Marzo!D50+Abril!D50+Mayo!D50+Junio!D50+Julio!D50+Agosto!D50+Septiembre!D50+Octubre!D50+Noviembre!D50+Diciembre!D50</f>
        <v>6642</v>
      </c>
      <c r="E50" s="33">
        <f t="shared" si="8"/>
        <v>-6642</v>
      </c>
      <c r="F50" s="34"/>
    </row>
    <row r="51" ht="15.75" customHeight="1">
      <c r="B51" s="9" t="str">
        <f>Categorias!B47</f>
        <v>Predial</v>
      </c>
      <c r="C51" s="33">
        <f>Enero!C51+Febrero!C51+Marzo!C51+Abril!C51+Mayo!C51+Junio!C51+Julio!C51+Agosto!C51+Septiembre!C51+Octubre!C51+Noviembre!C51+Diciembre!C51</f>
        <v>52600</v>
      </c>
      <c r="D51" s="33">
        <f>Enero!D51+Febrero!D51+Marzo!D51+Abril!D51+Mayo!D51+Junio!D51+Julio!D51+Agosto!D51+Septiembre!D51+Octubre!D51+Noviembre!D51+Diciembre!D51</f>
        <v>31150</v>
      </c>
      <c r="E51" s="33">
        <f t="shared" si="8"/>
        <v>21450</v>
      </c>
      <c r="F51" s="34"/>
    </row>
    <row r="52" ht="15.75" customHeight="1">
      <c r="B52" s="9" t="str">
        <f>Categorias!B48</f>
        <v>Renta Cuarto</v>
      </c>
      <c r="C52" s="33">
        <f>Enero!C52+Febrero!C52+Marzo!C52+Abril!C52+Mayo!C52+Junio!C52+Julio!C52+Agosto!C52+Septiembre!C52+Octubre!C52+Noviembre!C52+Diciembre!C52</f>
        <v>31200</v>
      </c>
      <c r="D52" s="33">
        <f>Enero!D52+Febrero!D52+Marzo!D52+Abril!D52+Mayo!D52+Junio!D52+Julio!D52+Agosto!D52+Septiembre!D52+Octubre!D52+Noviembre!D52+Diciembre!D52</f>
        <v>28200</v>
      </c>
      <c r="E52" s="33">
        <f t="shared" si="8"/>
        <v>3000</v>
      </c>
      <c r="F52" s="34"/>
    </row>
    <row r="53" ht="15.75" customHeight="1">
      <c r="B53" s="9" t="str">
        <f>Categorias!B49</f>
        <v>-</v>
      </c>
      <c r="C53" s="33">
        <f>Enero!C53+Febrero!C53+Marzo!C53+Abril!C53+Mayo!C53+Junio!C53+Julio!C53+Agosto!C53+Septiembre!C53+Octubre!C53+Noviembre!C53+Diciembre!C53</f>
        <v>0</v>
      </c>
      <c r="D53" s="33">
        <f>Enero!D53+Febrero!D53+Marzo!D53+Abril!D53+Mayo!D53+Junio!D53+Julio!D53+Agosto!D53+Septiembre!D53+Octubre!D53+Noviembre!D53+Diciembre!D53</f>
        <v>0</v>
      </c>
      <c r="E53" s="33">
        <f t="shared" si="8"/>
        <v>0</v>
      </c>
      <c r="F53" s="34"/>
    </row>
    <row r="54" ht="15.75" customHeight="1">
      <c r="B54" s="9" t="str">
        <f>Categorias!B50</f>
        <v>-</v>
      </c>
      <c r="C54" s="33">
        <f>Enero!C54+Febrero!C54+Marzo!C54+Abril!C54+Mayo!C54+Junio!C54+Julio!C54+Agosto!C54+Septiembre!C54+Octubre!C54+Noviembre!C54+Diciembre!C54</f>
        <v>2200</v>
      </c>
      <c r="D54" s="33">
        <f>Enero!D54+Febrero!D54+Marzo!D54+Abril!D54+Mayo!D54+Junio!D54+Julio!D54+Agosto!D54+Septiembre!D54+Octubre!D54+Noviembre!D54+Diciembre!D54</f>
        <v>4000</v>
      </c>
      <c r="E54" s="33">
        <f t="shared" si="8"/>
        <v>-1800</v>
      </c>
      <c r="F54" s="34"/>
    </row>
    <row r="55" ht="15.75" customHeight="1">
      <c r="B55" s="9" t="str">
        <f>Categorias!B51</f>
        <v>-</v>
      </c>
      <c r="C55" s="33">
        <f>Enero!C55+Febrero!C55+Marzo!C55+Abril!C55+Mayo!C55+Junio!C55+Julio!C55+Agosto!C55+Septiembre!C55+Octubre!C55+Noviembre!C55+Diciembre!C55</f>
        <v>0</v>
      </c>
      <c r="D55" s="33">
        <f>Enero!D55+Febrero!D55+Marzo!D55+Abril!D55+Mayo!D55+Junio!D55+Julio!D55+Agosto!D55+Septiembre!D55+Octubre!D55+Noviembre!D55+Diciembre!D55</f>
        <v>0</v>
      </c>
      <c r="E55" s="33">
        <f t="shared" si="8"/>
        <v>0</v>
      </c>
      <c r="F55" s="34"/>
    </row>
    <row r="56" ht="15.75" customHeight="1">
      <c r="B56" s="9" t="str">
        <f>Categorias!B52</f>
        <v>-</v>
      </c>
      <c r="C56" s="33">
        <f>Enero!C56+Febrero!C56+Marzo!C56+Abril!C56+Mayo!C56+Junio!C56+Julio!C56+Agosto!C56+Septiembre!C56+Octubre!C56+Noviembre!C56+Diciembre!C56</f>
        <v>0</v>
      </c>
      <c r="D56" s="33">
        <f>Enero!D56+Febrero!D56+Marzo!D56+Abril!D56+Mayo!D56+Junio!D56+Julio!D56+Agosto!D56+Septiembre!D56+Octubre!D56+Noviembre!D56+Diciembre!D56</f>
        <v>0</v>
      </c>
      <c r="E56" s="33">
        <f t="shared" si="8"/>
        <v>0</v>
      </c>
      <c r="F56" s="34"/>
    </row>
    <row r="57" ht="15.75" customHeight="1">
      <c r="B57" s="13"/>
      <c r="C57" s="40"/>
      <c r="D57" s="40"/>
      <c r="E57" s="40"/>
    </row>
    <row r="58" ht="15.75" customHeight="1">
      <c r="B58" s="8" t="str">
        <f>Categorias!B54</f>
        <v>ROPA Y CALZADO</v>
      </c>
      <c r="C58" s="31">
        <f>Enero!C58+Febrero!C58+Marzo!C58+Abril!C58+Mayo!C58+Junio!C58+Julio!C58+Agosto!C58+Septiembre!C58+Octubre!C58+Noviembre!C58+Diciembre!C58</f>
        <v>2400</v>
      </c>
      <c r="D58" s="31">
        <f>Enero!D58+Febrero!D58+Marzo!D58+Abril!D58+Mayo!D58+Junio!D58+Julio!D58+Agosto!D58+Septiembre!D58+Octubre!D58+Noviembre!D58+Diciembre!D58</f>
        <v>12134</v>
      </c>
      <c r="E58" s="31">
        <f>SUM(E59:E66)</f>
        <v>-9734</v>
      </c>
      <c r="F58" s="32"/>
    </row>
    <row r="59" ht="15.75" customHeight="1">
      <c r="B59" s="9" t="str">
        <f>Categorias!B55</f>
        <v>Ropa de adultos</v>
      </c>
      <c r="C59" s="33">
        <f>Enero!C59+Febrero!C59+Marzo!C59+Abril!C59+Mayo!C59+Junio!C59+Julio!C59+Agosto!C59+Septiembre!C59+Octubre!C59+Noviembre!C59+Diciembre!C59</f>
        <v>1000</v>
      </c>
      <c r="D59" s="33">
        <f>Enero!D59+Febrero!D59+Marzo!D59+Abril!D59+Mayo!D59+Junio!D59+Julio!D59+Agosto!D59+Septiembre!D59+Octubre!D59+Noviembre!D59+Diciembre!D59</f>
        <v>5530</v>
      </c>
      <c r="E59" s="33">
        <f t="shared" ref="E59:E66" si="9">C59-D59</f>
        <v>-4530</v>
      </c>
      <c r="F59" s="34"/>
    </row>
    <row r="60" ht="15.75" customHeight="1">
      <c r="B60" s="9" t="str">
        <f>Categorias!B56</f>
        <v>Ropa de niños</v>
      </c>
      <c r="C60" s="33">
        <f>Enero!C60+Febrero!C60+Marzo!C60+Abril!C60+Mayo!C60+Junio!C60+Julio!C60+Agosto!C60+Septiembre!C60+Octubre!C60+Noviembre!C60+Diciembre!C60</f>
        <v>1400</v>
      </c>
      <c r="D60" s="33">
        <f>Enero!D60+Febrero!D60+Marzo!D60+Abril!D60+Mayo!D60+Junio!D60+Julio!D60+Agosto!D60+Septiembre!D60+Octubre!D60+Noviembre!D60+Diciembre!D60</f>
        <v>4772</v>
      </c>
      <c r="E60" s="33">
        <f t="shared" si="9"/>
        <v>-3372</v>
      </c>
      <c r="F60" s="34"/>
    </row>
    <row r="61" ht="15.75" customHeight="1">
      <c r="B61" s="9" t="str">
        <f>Categorias!B57</f>
        <v>Calzado</v>
      </c>
      <c r="C61" s="33">
        <f>Enero!C61+Febrero!C61+Marzo!C61+Abril!C61+Mayo!C61+Junio!C61+Julio!C61+Agosto!C61+Septiembre!C61+Octubre!C61+Noviembre!C61+Diciembre!C61</f>
        <v>0</v>
      </c>
      <c r="D61" s="33">
        <f>Enero!D61+Febrero!D61+Marzo!D61+Abril!D61+Mayo!D61+Junio!D61+Julio!D61+Agosto!D61+Septiembre!D61+Octubre!D61+Noviembre!D61+Diciembre!D61</f>
        <v>1759</v>
      </c>
      <c r="E61" s="33">
        <f t="shared" si="9"/>
        <v>-1759</v>
      </c>
      <c r="F61" s="34"/>
    </row>
    <row r="62" ht="15.75" customHeight="1">
      <c r="B62" s="9" t="str">
        <f>Categorias!B58</f>
        <v>Acessorios</v>
      </c>
      <c r="C62" s="33">
        <f>Enero!C62+Febrero!C62+Marzo!C62+Abril!C62+Mayo!C62+Junio!C62+Julio!C62+Agosto!C62+Septiembre!C62+Octubre!C62+Noviembre!C62+Diciembre!C62</f>
        <v>0</v>
      </c>
      <c r="D62" s="33">
        <f>Enero!D62+Febrero!D62+Marzo!D62+Abril!D62+Mayo!D62+Junio!D62+Julio!D62+Agosto!D62+Septiembre!D62+Octubre!D62+Noviembre!D62+Diciembre!D62</f>
        <v>73</v>
      </c>
      <c r="E62" s="33">
        <f t="shared" si="9"/>
        <v>-73</v>
      </c>
      <c r="F62" s="34"/>
    </row>
    <row r="63" ht="15.75" customHeight="1">
      <c r="B63" s="9" t="str">
        <f>Categorias!B59</f>
        <v>Joyería</v>
      </c>
      <c r="C63" s="33">
        <f>Enero!C63+Febrero!C63+Marzo!C63+Abril!C63+Mayo!C63+Junio!C63+Julio!C63+Agosto!C63+Septiembre!C63+Octubre!C63+Noviembre!C63+Diciembre!C63</f>
        <v>0</v>
      </c>
      <c r="D63" s="33">
        <f>Enero!D63+Febrero!D63+Marzo!D63+Abril!D63+Mayo!D63+Junio!D63+Julio!D63+Agosto!D63+Septiembre!D63+Octubre!D63+Noviembre!D63+Diciembre!D63</f>
        <v>0</v>
      </c>
      <c r="E63" s="33">
        <f t="shared" si="9"/>
        <v>0</v>
      </c>
      <c r="F63" s="34"/>
    </row>
    <row r="64" ht="15.75" customHeight="1">
      <c r="B64" s="9" t="str">
        <f>Categorias!B60</f>
        <v>Otros</v>
      </c>
      <c r="C64" s="33">
        <f>Enero!C64+Febrero!C64+Marzo!C64+Abril!C64+Mayo!C64+Junio!C64+Julio!C64+Agosto!C64+Septiembre!C64+Octubre!C64+Noviembre!C64+Diciembre!C64</f>
        <v>0</v>
      </c>
      <c r="D64" s="33">
        <f>Enero!D64+Febrero!D64+Marzo!D64+Abril!D64+Mayo!D64+Junio!D64+Julio!D64+Agosto!D64+Septiembre!D64+Octubre!D64+Noviembre!D64+Diciembre!D64</f>
        <v>0</v>
      </c>
      <c r="E64" s="33">
        <f t="shared" si="9"/>
        <v>0</v>
      </c>
      <c r="F64" s="34"/>
    </row>
    <row r="65" ht="15.75" customHeight="1">
      <c r="B65" s="9" t="str">
        <f>Categorias!B61</f>
        <v>-</v>
      </c>
      <c r="C65" s="33">
        <f>Enero!C65+Febrero!C65+Marzo!C65+Abril!C65+Mayo!C65+Junio!C65+Julio!C65+Agosto!C65+Septiembre!C65+Octubre!C65+Noviembre!C65+Diciembre!C65</f>
        <v>0</v>
      </c>
      <c r="D65" s="33">
        <f>Enero!D65+Febrero!D65+Marzo!D65+Abril!D65+Mayo!D65+Junio!D65+Julio!D65+Agosto!D65+Septiembre!D65+Octubre!D65+Noviembre!D65+Diciembre!D65</f>
        <v>0</v>
      </c>
      <c r="E65" s="33">
        <f t="shared" si="9"/>
        <v>0</v>
      </c>
      <c r="F65" s="34"/>
    </row>
    <row r="66" ht="15.75" customHeight="1">
      <c r="B66" s="9" t="str">
        <f>Categorias!B62</f>
        <v>-</v>
      </c>
      <c r="C66" s="33">
        <f>Enero!C66+Febrero!C66+Marzo!C66+Abril!C66+Mayo!C66+Junio!C66+Julio!C66+Agosto!C66+Septiembre!C66+Octubre!C66+Noviembre!C66+Diciembre!C66</f>
        <v>0</v>
      </c>
      <c r="D66" s="33">
        <f>Enero!D66+Febrero!D66+Marzo!D66+Abril!D66+Mayo!D66+Junio!D66+Julio!D66+Agosto!D66+Septiembre!D66+Octubre!D66+Noviembre!D66+Diciembre!D66</f>
        <v>0</v>
      </c>
      <c r="E66" s="33">
        <f t="shared" si="9"/>
        <v>0</v>
      </c>
      <c r="F66" s="34"/>
    </row>
    <row r="67" ht="15.75" customHeight="1">
      <c r="B67" s="13"/>
      <c r="C67" s="40"/>
      <c r="D67" s="40"/>
      <c r="E67" s="40"/>
    </row>
    <row r="68" ht="15.75" customHeight="1">
      <c r="B68" s="8" t="str">
        <f>Categorias!B64</f>
        <v>COMUNICACIÓN</v>
      </c>
      <c r="C68" s="31">
        <f>Enero!C68+Febrero!C68+Marzo!C68+Abril!C68+Mayo!C68+Junio!C68+Julio!C68+Agosto!C68+Septiembre!C68+Octubre!C68+Noviembre!C68+Diciembre!C68</f>
        <v>10021</v>
      </c>
      <c r="D68" s="31">
        <f>Enero!D68+Febrero!D68+Marzo!D68+Abril!D68+Mayo!D68+Junio!D68+Julio!D68+Agosto!D68+Septiembre!D68+Octubre!D68+Noviembre!D68+Diciembre!D68</f>
        <v>9897</v>
      </c>
      <c r="E68" s="31">
        <f>SUM(E69:E75)</f>
        <v>124</v>
      </c>
      <c r="F68" s="32"/>
    </row>
    <row r="69" ht="15.75" customHeight="1">
      <c r="B69" s="9" t="str">
        <f>Categorias!B65</f>
        <v>Cel. Claudia</v>
      </c>
      <c r="C69" s="33">
        <f>Enero!C69+Febrero!C69+Marzo!C69+Abril!C69+Mayo!C69+Junio!C69+Julio!C69+Agosto!C69+Septiembre!C69+Octubre!C69+Noviembre!C69+Diciembre!C69</f>
        <v>2978</v>
      </c>
      <c r="D69" s="33">
        <f>Enero!D69+Febrero!D69+Marzo!D69+Abril!D69+Mayo!D69+Junio!D69+Julio!D69+Agosto!D69+Septiembre!D69+Octubre!D69+Noviembre!D69+Diciembre!D69</f>
        <v>7409</v>
      </c>
      <c r="E69" s="33">
        <f t="shared" ref="E69:E75" si="10">C69-D69</f>
        <v>-4431</v>
      </c>
      <c r="F69" s="34"/>
    </row>
    <row r="70" ht="15.75" customHeight="1">
      <c r="B70" s="9" t="str">
        <f>Categorias!B66</f>
        <v>Cel. Carlos</v>
      </c>
      <c r="C70" s="33">
        <f>Enero!C70+Febrero!C70+Marzo!C70+Abril!C70+Mayo!C70+Junio!C70+Julio!C70+Agosto!C70+Septiembre!C70+Octubre!C70+Noviembre!C70+Diciembre!C70</f>
        <v>2948</v>
      </c>
      <c r="D70" s="33">
        <f>Enero!D70+Febrero!D70+Marzo!D70+Abril!D70+Mayo!D70+Junio!D70+Julio!D70+Agosto!D70+Septiembre!D70+Octubre!D70+Noviembre!D70+Diciembre!D70</f>
        <v>799</v>
      </c>
      <c r="E70" s="33">
        <f t="shared" si="10"/>
        <v>2149</v>
      </c>
      <c r="F70" s="34"/>
    </row>
    <row r="71" ht="15.75" customHeight="1">
      <c r="B71" s="9" t="str">
        <f>Categorias!B67</f>
        <v>Cel.Kary</v>
      </c>
      <c r="C71" s="33">
        <f>Enero!C71+Febrero!C71+Marzo!C71+Abril!C71+Mayo!C71+Junio!C71+Julio!C71+Agosto!C71+Septiembre!C71+Octubre!C71+Noviembre!C71+Diciembre!C71</f>
        <v>2000</v>
      </c>
      <c r="D71" s="33">
        <f>Enero!D71+Febrero!D71+Marzo!D71+Abril!D71+Mayo!D71+Junio!D71+Julio!D71+Agosto!D71+Septiembre!D71+Octubre!D71+Noviembre!D71+Diciembre!D71</f>
        <v>870</v>
      </c>
      <c r="E71" s="33">
        <f t="shared" si="10"/>
        <v>1130</v>
      </c>
      <c r="F71" s="34"/>
    </row>
    <row r="72" ht="15.75" customHeight="1">
      <c r="B72" s="9" t="str">
        <f>Categorias!B68</f>
        <v>-</v>
      </c>
      <c r="C72" s="33">
        <f>Enero!C72+Febrero!C72+Marzo!C72+Abril!C72+Mayo!C72+Junio!C72+Julio!C72+Agosto!C72+Septiembre!C72+Octubre!C72+Noviembre!C72+Diciembre!C72</f>
        <v>1656</v>
      </c>
      <c r="D72" s="33">
        <f>Enero!D72+Febrero!D72+Marzo!D72+Abril!D72+Mayo!D72+Junio!D72+Julio!D72+Agosto!D72+Septiembre!D72+Octubre!D72+Noviembre!D72+Diciembre!D72</f>
        <v>600</v>
      </c>
      <c r="E72" s="33">
        <f t="shared" si="10"/>
        <v>1056</v>
      </c>
      <c r="F72" s="34"/>
    </row>
    <row r="73" ht="15.75" customHeight="1">
      <c r="B73" s="9" t="str">
        <f>Categorias!B69</f>
        <v>-</v>
      </c>
      <c r="C73" s="33">
        <f>Enero!C73+Febrero!C73+Marzo!C73+Abril!C73+Mayo!C73+Junio!C73+Julio!C73+Agosto!C73+Septiembre!C73+Octubre!C73+Noviembre!C73+Diciembre!C73</f>
        <v>439</v>
      </c>
      <c r="D73" s="33">
        <f>Enero!D73+Febrero!D73+Marzo!D73+Abril!D73+Mayo!D73+Junio!D73+Julio!D73+Agosto!D73+Septiembre!D73+Octubre!D73+Noviembre!D73+Diciembre!D73</f>
        <v>219</v>
      </c>
      <c r="E73" s="33">
        <f t="shared" si="10"/>
        <v>220</v>
      </c>
      <c r="F73" s="34"/>
    </row>
    <row r="74" ht="15.75" customHeight="1">
      <c r="B74" s="9" t="str">
        <f>Categorias!B70</f>
        <v>-</v>
      </c>
      <c r="C74" s="33">
        <f>Enero!C74+Febrero!C74+Marzo!C74+Abril!C74+Mayo!C74+Junio!C74+Julio!C74+Agosto!C74+Septiembre!C74+Octubre!C74+Noviembre!C74+Diciembre!C74</f>
        <v>0</v>
      </c>
      <c r="D74" s="33">
        <f>Enero!D74+Febrero!D74+Marzo!D74+Abril!D74+Mayo!D74+Junio!D74+Julio!D74+Agosto!D74+Septiembre!D74+Octubre!D74+Noviembre!D74+Diciembre!D74</f>
        <v>0</v>
      </c>
      <c r="E74" s="33">
        <f t="shared" si="10"/>
        <v>0</v>
      </c>
      <c r="F74" s="34"/>
    </row>
    <row r="75" ht="15.75" customHeight="1">
      <c r="B75" s="9" t="str">
        <f>Categorias!B73</f>
        <v>-</v>
      </c>
      <c r="C75" s="33">
        <f>Enero!C75+Febrero!C75+Marzo!C75+Abril!C75+Mayo!C75+Junio!C75+Julio!C75+Agosto!C75+Septiembre!C75+Octubre!C75+Noviembre!C75+Diciembre!C75</f>
        <v>0</v>
      </c>
      <c r="D75" s="33">
        <f>Enero!D75+Febrero!D75+Marzo!D75+Abril!D75+Mayo!D75+Junio!D75+Julio!D75+Agosto!D75+Septiembre!D75+Octubre!D75+Noviembre!D75+Diciembre!D75</f>
        <v>0</v>
      </c>
      <c r="E75" s="33">
        <f t="shared" si="10"/>
        <v>0</v>
      </c>
      <c r="F75" s="34"/>
    </row>
    <row r="76" ht="15.75" customHeight="1">
      <c r="B76" s="14"/>
      <c r="C76" s="40"/>
      <c r="D76" s="40"/>
      <c r="E76" s="40"/>
    </row>
    <row r="77" ht="15.75" customHeight="1">
      <c r="B77" s="8" t="str">
        <f>Categorias!B75</f>
        <v>TRANSPORTE</v>
      </c>
      <c r="C77" s="31">
        <f>Enero!C77+Febrero!C77+Marzo!C77+Abril!C77+Mayo!C77+Junio!C77+Julio!C77+Agosto!C77+Septiembre!C77+Octubre!C77+Noviembre!C77+Diciembre!C77</f>
        <v>38750.68</v>
      </c>
      <c r="D77" s="31">
        <f>Enero!D77+Febrero!D77+Marzo!D77+Abril!D77+Mayo!D77+Junio!D77+Julio!D77+Agosto!D77+Septiembre!D77+Octubre!D77+Noviembre!D77+Diciembre!D77</f>
        <v>32463.21</v>
      </c>
      <c r="E77" s="31">
        <f>SUM(E78:E86)</f>
        <v>6287.47</v>
      </c>
      <c r="F77" s="32"/>
    </row>
    <row r="78" ht="15.75" customHeight="1">
      <c r="B78" s="9" t="str">
        <f>Categorias!B76</f>
        <v>Combustible Fusion</v>
      </c>
      <c r="C78" s="33">
        <f>Enero!C78+Febrero!C78+Marzo!C78+Abril!C78+Mayo!C78+Junio!C78+Julio!C78+Agosto!C78+Septiembre!C78+Octubre!C78+Noviembre!C78+Diciembre!C78</f>
        <v>19600</v>
      </c>
      <c r="D78" s="33">
        <f>Enero!D78+Febrero!D78+Marzo!D78+Abril!D78+Mayo!D78+Junio!D78+Julio!D78+Agosto!D78+Septiembre!D78+Octubre!D78+Noviembre!D78+Diciembre!D78</f>
        <v>15614.21</v>
      </c>
      <c r="E78" s="33">
        <f t="shared" ref="E78:E86" si="11">C78-D78</f>
        <v>3985.79</v>
      </c>
      <c r="F78" s="34"/>
    </row>
    <row r="79" ht="15.75" customHeight="1">
      <c r="B79" s="9" t="str">
        <f>Categorias!B77</f>
        <v>Seguro Fusion</v>
      </c>
      <c r="C79" s="33">
        <f>Enero!C79+Febrero!C79+Marzo!C79+Abril!C79+Mayo!C79+Junio!C79+Julio!C79+Agosto!C79+Septiembre!C79+Octubre!C79+Noviembre!C79+Diciembre!C79</f>
        <v>2700</v>
      </c>
      <c r="D79" s="33">
        <f>Enero!D79+Febrero!D79+Marzo!D79+Abril!D79+Mayo!D79+Junio!D79+Julio!D79+Agosto!D79+Septiembre!D79+Octubre!D79+Noviembre!D79+Diciembre!D79</f>
        <v>150</v>
      </c>
      <c r="E79" s="33">
        <f t="shared" si="11"/>
        <v>2550</v>
      </c>
      <c r="F79" s="34"/>
    </row>
    <row r="80" ht="15.75" customHeight="1">
      <c r="B80" s="9" t="str">
        <f>Categorias!B78</f>
        <v>Mantenimiento Fusion</v>
      </c>
      <c r="C80" s="33">
        <f>Enero!C80+Febrero!C80+Marzo!C80+Abril!C80+Mayo!C80+Junio!C80+Julio!C80+Agosto!C80+Septiembre!C80+Octubre!C80+Noviembre!C80+Diciembre!C80</f>
        <v>10000</v>
      </c>
      <c r="D80" s="33">
        <f>Enero!D80+Febrero!D80+Marzo!D80+Abril!D80+Mayo!D80+Junio!D80+Julio!D80+Agosto!D80+Septiembre!D80+Octubre!D80+Noviembre!D80+Diciembre!D80</f>
        <v>7536</v>
      </c>
      <c r="E80" s="33">
        <f t="shared" si="11"/>
        <v>2464</v>
      </c>
      <c r="F80" s="34"/>
    </row>
    <row r="81" ht="15.75" customHeight="1">
      <c r="B81" s="9" t="str">
        <f>Categorias!B79</f>
        <v>Derecho vehicular Fusion</v>
      </c>
      <c r="C81" s="33">
        <f>Enero!C81+Febrero!C81+Marzo!C81+Abril!C81+Mayo!C81+Junio!C81+Julio!C81+Agosto!C81+Septiembre!C81+Octubre!C81+Noviembre!C81+Diciembre!C81</f>
        <v>3700</v>
      </c>
      <c r="D81" s="33">
        <f>Enero!D81+Febrero!D81+Marzo!D81+Abril!D81+Mayo!D81+Junio!D81+Julio!D81+Agosto!D81+Septiembre!D81+Octubre!D81+Noviembre!D81+Diciembre!D81</f>
        <v>0</v>
      </c>
      <c r="E81" s="33">
        <f t="shared" si="11"/>
        <v>3700</v>
      </c>
      <c r="F81" s="34"/>
    </row>
    <row r="82" ht="15.75" customHeight="1">
      <c r="B82" s="9" t="str">
        <f>Categorias!B80</f>
        <v>Casetas</v>
      </c>
      <c r="C82" s="33">
        <f>Enero!C82+Febrero!C82+Marzo!C82+Abril!C82+Mayo!C82+Junio!C82+Julio!C82+Agosto!C82+Septiembre!C82+Octubre!C82+Noviembre!C82+Diciembre!C82</f>
        <v>2300</v>
      </c>
      <c r="D82" s="33">
        <f>Enero!D82+Febrero!D82+Marzo!D82+Abril!D82+Mayo!D82+Junio!D82+Julio!D82+Agosto!D82+Septiembre!D82+Octubre!D82+Noviembre!D82+Diciembre!D82</f>
        <v>2860</v>
      </c>
      <c r="E82" s="33">
        <f t="shared" si="11"/>
        <v>-560</v>
      </c>
      <c r="F82" s="34"/>
    </row>
    <row r="83" ht="15.75" customHeight="1">
      <c r="B83" s="9" t="str">
        <f>Categorias!B81</f>
        <v>ADO</v>
      </c>
      <c r="C83" s="33">
        <f>Enero!C83+Febrero!C83+Marzo!C83+Abril!C83+Mayo!C83+Junio!C83+Julio!C83+Agosto!C83+Septiembre!C83+Octubre!C83+Noviembre!C83+Diciembre!C83</f>
        <v>0</v>
      </c>
      <c r="D83" s="33">
        <f>Enero!D83+Febrero!D83+Marzo!D83+Abril!D83+Mayo!D83+Junio!D83+Julio!D83+Agosto!D83+Septiembre!D83+Octubre!D83+Noviembre!D83+Diciembre!D83</f>
        <v>5895</v>
      </c>
      <c r="E83" s="33">
        <f t="shared" si="11"/>
        <v>-5895</v>
      </c>
      <c r="F83" s="34"/>
    </row>
    <row r="84" ht="15.75" customHeight="1">
      <c r="B84" s="9" t="str">
        <f>Categorias!B82</f>
        <v>-</v>
      </c>
      <c r="C84" s="33">
        <f>Enero!C84+Febrero!C84+Marzo!C84+Abril!C84+Mayo!C84+Junio!C84+Julio!C84+Agosto!C84+Septiembre!C84+Octubre!C84+Noviembre!C84+Diciembre!C84</f>
        <v>450.68</v>
      </c>
      <c r="D84" s="33">
        <f>Enero!D84+Febrero!D84+Marzo!D84+Abril!D84+Mayo!D84+Junio!D84+Julio!D84+Agosto!D84+Septiembre!D84+Octubre!D84+Noviembre!D84+Diciembre!D84</f>
        <v>368</v>
      </c>
      <c r="E84" s="33">
        <f t="shared" si="11"/>
        <v>82.68</v>
      </c>
      <c r="F84" s="34"/>
    </row>
    <row r="85" ht="15.75" customHeight="1">
      <c r="B85" s="9" t="str">
        <f>Categorias!B83</f>
        <v>-</v>
      </c>
      <c r="C85" s="33">
        <f>Enero!C85+Febrero!C85+Marzo!C85+Abril!C85+Mayo!C85+Junio!C85+Julio!C85+Agosto!C85+Septiembre!C85+Octubre!C85+Noviembre!C85+Diciembre!C85</f>
        <v>0</v>
      </c>
      <c r="D85" s="33">
        <f>Enero!D85+Febrero!D85+Marzo!D85+Abril!D85+Mayo!D85+Junio!D85+Julio!D85+Agosto!D85+Septiembre!D85+Octubre!D85+Noviembre!D85+Diciembre!D85</f>
        <v>0</v>
      </c>
      <c r="E85" s="33">
        <f t="shared" si="11"/>
        <v>0</v>
      </c>
      <c r="F85" s="34"/>
    </row>
    <row r="86" ht="15.75" customHeight="1">
      <c r="B86" s="9" t="str">
        <f>Categorias!B84</f>
        <v>-</v>
      </c>
      <c r="C86" s="33">
        <f>Enero!C86+Febrero!C86+Marzo!C86+Abril!C86+Mayo!C86+Junio!C86+Julio!C86+Agosto!C86+Septiembre!C86+Octubre!C86+Noviembre!C86+Diciembre!C86</f>
        <v>0</v>
      </c>
      <c r="D86" s="33">
        <f>Enero!D86+Febrero!D86+Marzo!D86+Abril!D86+Mayo!D86+Junio!D86+Julio!D86+Agosto!D86+Septiembre!D86+Octubre!D86+Noviembre!D86+Diciembre!D86</f>
        <v>40</v>
      </c>
      <c r="E86" s="33">
        <f t="shared" si="11"/>
        <v>-40</v>
      </c>
      <c r="F86" s="34"/>
    </row>
    <row r="87" ht="15.75" customHeight="1">
      <c r="B87" s="14"/>
      <c r="C87" s="40"/>
      <c r="D87" s="40"/>
      <c r="E87" s="40"/>
    </row>
    <row r="88" ht="15.75" customHeight="1">
      <c r="B88" s="8" t="str">
        <f>Categorias!B86</f>
        <v>HIGIENE</v>
      </c>
      <c r="C88" s="31">
        <f>Enero!C88+Febrero!C88+Marzo!C88+Abril!C88+Mayo!C88+Junio!C88+Julio!C88+Agosto!C88+Septiembre!C88+Octubre!C88+Noviembre!C88+Diciembre!C88</f>
        <v>1780</v>
      </c>
      <c r="D88" s="31">
        <f>Enero!D88+Febrero!D88+Marzo!D88+Abril!D88+Mayo!D88+Junio!D88+Julio!D88+Agosto!D88+Septiembre!D88+Octubre!D88+Noviembre!D88+Diciembre!D88</f>
        <v>4911.5</v>
      </c>
      <c r="E88" s="31">
        <f>SUM(E89:E95)</f>
        <v>-3131.5</v>
      </c>
      <c r="F88" s="32"/>
    </row>
    <row r="89" ht="15.75" customHeight="1">
      <c r="B89" s="9" t="str">
        <f>Categorias!B87</f>
        <v>Cosmeticos</v>
      </c>
      <c r="C89" s="33">
        <f>Enero!C89+Febrero!C89+Marzo!C89+Abril!C89+Mayo!C89+Junio!C89+Julio!C89+Agosto!C89+Septiembre!C89+Octubre!C89+Noviembre!C89+Diciembre!C89</f>
        <v>0</v>
      </c>
      <c r="D89" s="33">
        <f>Enero!D89+Febrero!D89+Marzo!D89+Abril!D89+Mayo!D89+Junio!D89+Julio!D89+Agosto!D89+Septiembre!D89+Octubre!D89+Noviembre!D89+Diciembre!D89</f>
        <v>1003</v>
      </c>
      <c r="E89" s="33">
        <f t="shared" ref="E89:E95" si="12">C89-D89</f>
        <v>-1003</v>
      </c>
      <c r="F89" s="34"/>
    </row>
    <row r="90" ht="15.75" customHeight="1">
      <c r="B90" s="9" t="str">
        <f>Categorias!B88</f>
        <v>Peluquería / S. Belleza</v>
      </c>
      <c r="C90" s="33">
        <f>Enero!C90+Febrero!C90+Marzo!C90+Abril!C90+Mayo!C90+Junio!C90+Julio!C90+Agosto!C90+Septiembre!C90+Octubre!C90+Noviembre!C90+Diciembre!C90</f>
        <v>1580</v>
      </c>
      <c r="D90" s="33">
        <f>Enero!D90+Febrero!D90+Marzo!D90+Abril!D90+Mayo!D90+Junio!D90+Julio!D90+Agosto!D90+Septiembre!D90+Octubre!D90+Noviembre!D90+Diciembre!D90</f>
        <v>520</v>
      </c>
      <c r="E90" s="33">
        <f t="shared" si="12"/>
        <v>1060</v>
      </c>
      <c r="F90" s="34"/>
    </row>
    <row r="91" ht="15.75" customHeight="1">
      <c r="B91" s="9" t="str">
        <f>Categorias!B89</f>
        <v>Lavanderia</v>
      </c>
      <c r="C91" s="33">
        <f>Enero!C91+Febrero!C91+Marzo!C91+Abril!C91+Mayo!C91+Junio!C91+Julio!C91+Agosto!C91+Septiembre!C91+Octubre!C91+Noviembre!C91+Diciembre!C91</f>
        <v>0</v>
      </c>
      <c r="D91" s="33">
        <f>Enero!D91+Febrero!D91+Marzo!D91+Abril!D91+Mayo!D91+Junio!D91+Julio!D91+Agosto!D91+Septiembre!D91+Octubre!D91+Noviembre!D91+Diciembre!D91</f>
        <v>150</v>
      </c>
      <c r="E91" s="33">
        <f t="shared" si="12"/>
        <v>-150</v>
      </c>
      <c r="F91" s="34"/>
    </row>
    <row r="92" ht="15.75" customHeight="1">
      <c r="B92" s="9" t="str">
        <f>Categorias!B90</f>
        <v>Productos de limpieza </v>
      </c>
      <c r="C92" s="33">
        <f>Enero!C92+Febrero!C92+Marzo!C92+Abril!C92+Mayo!C92+Junio!C92+Julio!C92+Agosto!C92+Septiembre!C92+Octubre!C92+Noviembre!C92+Diciembre!C92</f>
        <v>200</v>
      </c>
      <c r="D92" s="33">
        <f>Enero!D92+Febrero!D92+Marzo!D92+Abril!D92+Mayo!D92+Junio!D92+Julio!D92+Agosto!D92+Septiembre!D92+Octubre!D92+Noviembre!D92+Diciembre!D92</f>
        <v>1638.5</v>
      </c>
      <c r="E92" s="33">
        <f t="shared" si="12"/>
        <v>-1438.5</v>
      </c>
      <c r="F92" s="34"/>
    </row>
    <row r="93" ht="15.75" customHeight="1">
      <c r="B93" s="9" t="str">
        <f>Categorias!B91</f>
        <v>Otros</v>
      </c>
      <c r="C93" s="33">
        <f>Enero!C93+Febrero!C93+Marzo!C93+Abril!C93+Mayo!C93+Junio!C93+Julio!C93+Agosto!C93+Septiembre!C93+Octubre!C93+Noviembre!C93+Diciembre!C93</f>
        <v>0</v>
      </c>
      <c r="D93" s="33">
        <f>Enero!D93+Febrero!D93+Marzo!D93+Abril!D93+Mayo!D93+Junio!D93+Julio!D93+Agosto!D93+Septiembre!D93+Octubre!D93+Noviembre!D93+Diciembre!D93</f>
        <v>1600</v>
      </c>
      <c r="E93" s="33">
        <f t="shared" si="12"/>
        <v>-1600</v>
      </c>
      <c r="F93" s="34"/>
    </row>
    <row r="94" ht="15.75" customHeight="1">
      <c r="B94" s="9" t="str">
        <f>Categorias!B92</f>
        <v>-</v>
      </c>
      <c r="C94" s="33">
        <f>Enero!C94+Febrero!C94+Marzo!C94+Abril!C94+Mayo!C94+Junio!C94+Julio!C94+Agosto!C94+Septiembre!C94+Octubre!C94+Noviembre!C94+Diciembre!C94</f>
        <v>0</v>
      </c>
      <c r="D94" s="33">
        <f>Enero!D94+Febrero!D94+Marzo!D94+Abril!D94+Mayo!D94+Junio!D94+Julio!D94+Agosto!D94+Septiembre!D94+Octubre!D94+Noviembre!D94+Diciembre!D94</f>
        <v>0</v>
      </c>
      <c r="E94" s="33">
        <f t="shared" si="12"/>
        <v>0</v>
      </c>
      <c r="F94" s="34"/>
    </row>
    <row r="95" ht="15.75" customHeight="1">
      <c r="B95" s="9" t="str">
        <f>Categorias!B93</f>
        <v>-</v>
      </c>
      <c r="C95" s="33">
        <f>Enero!C95+Febrero!C95+Marzo!C95+Abril!C95+Mayo!C95+Junio!C95+Julio!C95+Agosto!C95+Septiembre!C95+Octubre!C95+Noviembre!C95+Diciembre!C95</f>
        <v>0</v>
      </c>
      <c r="D95" s="33">
        <f>Enero!D95+Febrero!D95+Marzo!D95+Abril!D95+Mayo!D95+Junio!D95+Julio!D95+Agosto!D95+Septiembre!D95+Octubre!D95+Noviembre!D95+Diciembre!D95</f>
        <v>0</v>
      </c>
      <c r="E95" s="33">
        <f t="shared" si="12"/>
        <v>0</v>
      </c>
      <c r="F95" s="34"/>
    </row>
    <row r="96" ht="15.75" customHeight="1">
      <c r="B96" s="15"/>
      <c r="C96" s="42"/>
      <c r="D96" s="40"/>
      <c r="E96" s="40"/>
    </row>
    <row r="97" ht="15.75" customHeight="1">
      <c r="B97" s="8" t="str">
        <f>Categorias!B95</f>
        <v>NIÑOS</v>
      </c>
      <c r="C97" s="31">
        <f>Enero!C97+Febrero!C97+Marzo!C97+Abril!C97+Mayo!C97+Junio!C97+Julio!C97+Agosto!C97+Septiembre!C97+Octubre!C97+Noviembre!C97+Diciembre!C97</f>
        <v>7300</v>
      </c>
      <c r="D97" s="31">
        <f>Enero!D97+Febrero!D97+Marzo!D97+Abril!D97+Mayo!D97+Junio!D97+Julio!D97+Agosto!D97+Septiembre!D97+Octubre!D97+Noviembre!D97+Diciembre!D97</f>
        <v>6531</v>
      </c>
      <c r="E97" s="31">
        <f>SUM(E98:E105)</f>
        <v>769</v>
      </c>
      <c r="F97" s="32"/>
    </row>
    <row r="98" ht="15.75" customHeight="1">
      <c r="B98" s="9" t="str">
        <f>Categorias!B96</f>
        <v>Jugetes/juegos</v>
      </c>
      <c r="C98" s="33">
        <f>Enero!C98+Febrero!C98+Marzo!C98+Abril!C98+Mayo!C98+Junio!C98+Julio!C98+Agosto!C98+Septiembre!C98+Octubre!C98+Noviembre!C98+Diciembre!C98</f>
        <v>2000</v>
      </c>
      <c r="D98" s="33">
        <f>Enero!D98+Febrero!D98+Marzo!D98+Abril!D98+Mayo!D98+Junio!D98+Julio!D98+Agosto!D98+Septiembre!D98+Octubre!D98+Noviembre!D98+Diciembre!D98</f>
        <v>0</v>
      </c>
      <c r="E98" s="33">
        <f t="shared" ref="E98:E105" si="13">C98-D98</f>
        <v>2000</v>
      </c>
      <c r="F98" s="34"/>
    </row>
    <row r="99" ht="15.75" customHeight="1">
      <c r="B99" s="9" t="str">
        <f>Categorias!B97</f>
        <v>-</v>
      </c>
      <c r="C99" s="33">
        <f>Enero!C99+Febrero!C99+Marzo!C99+Abril!C99+Mayo!C99+Junio!C99+Julio!C99+Agosto!C99+Septiembre!C99+Octubre!C99+Noviembre!C99+Diciembre!C99</f>
        <v>4700</v>
      </c>
      <c r="D99" s="33">
        <f>Enero!D99+Febrero!D99+Marzo!D99+Abril!D99+Mayo!D99+Junio!D99+Julio!D99+Agosto!D99+Septiembre!D99+Octubre!D99+Noviembre!D99+Diciembre!D99</f>
        <v>2881</v>
      </c>
      <c r="E99" s="33">
        <f t="shared" si="13"/>
        <v>1819</v>
      </c>
      <c r="F99" s="34"/>
    </row>
    <row r="100" ht="15.75" customHeight="1">
      <c r="B100" s="9" t="str">
        <f>Categorias!B98</f>
        <v>-</v>
      </c>
      <c r="C100" s="33">
        <f>Enero!C100+Febrero!C100+Marzo!C100+Abril!C100+Mayo!C100+Junio!C100+Julio!C100+Agosto!C100+Septiembre!C100+Octubre!C100+Noviembre!C100+Diciembre!C100</f>
        <v>0</v>
      </c>
      <c r="D100" s="33">
        <f>Enero!D100+Febrero!D100+Marzo!D100+Abril!D100+Mayo!D100+Junio!D100+Julio!D100+Agosto!D100+Septiembre!D100+Octubre!D100+Noviembre!D100+Diciembre!D100</f>
        <v>0</v>
      </c>
      <c r="E100" s="33">
        <f t="shared" si="13"/>
        <v>0</v>
      </c>
      <c r="F100" s="34"/>
    </row>
    <row r="101" ht="15.75" customHeight="1">
      <c r="B101" s="9" t="str">
        <f>Categorias!B99</f>
        <v>-</v>
      </c>
      <c r="C101" s="33">
        <f>Enero!C101+Febrero!C101+Marzo!C101+Abril!C101+Mayo!C101+Junio!C101+Julio!C101+Agosto!C101+Septiembre!C101+Octubre!C101+Noviembre!C101+Diciembre!C101</f>
        <v>200</v>
      </c>
      <c r="D101" s="33">
        <f>Enero!D101+Febrero!D101+Marzo!D101+Abril!D101+Mayo!D101+Junio!D101+Julio!D101+Agosto!D101+Septiembre!D101+Octubre!D101+Noviembre!D101+Diciembre!D101</f>
        <v>3650</v>
      </c>
      <c r="E101" s="33">
        <f t="shared" si="13"/>
        <v>-3450</v>
      </c>
      <c r="F101" s="34"/>
    </row>
    <row r="102" ht="15.75" customHeight="1">
      <c r="B102" s="9" t="str">
        <f>Categorias!B100</f>
        <v>-</v>
      </c>
      <c r="C102" s="33">
        <f>Enero!C102+Febrero!C102+Marzo!C102+Abril!C102+Mayo!C102+Junio!C102+Julio!C102+Agosto!C102+Septiembre!C102+Octubre!C102+Noviembre!C102+Diciembre!C102</f>
        <v>400</v>
      </c>
      <c r="D102" s="33">
        <f>Enero!D102+Febrero!D102+Marzo!D102+Abril!D102+Mayo!D102+Junio!D102+Julio!D102+Agosto!D102+Septiembre!D102+Octubre!D102+Noviembre!D102+Diciembre!D102</f>
        <v>0</v>
      </c>
      <c r="E102" s="33">
        <f t="shared" si="13"/>
        <v>400</v>
      </c>
      <c r="F102" s="34"/>
    </row>
    <row r="103" ht="15.75" customHeight="1">
      <c r="B103" s="9" t="str">
        <f>Categorias!B101</f>
        <v>-</v>
      </c>
      <c r="C103" s="33">
        <f>Enero!C103+Febrero!C103+Marzo!C103+Abril!C103+Mayo!C103+Junio!C103+Julio!C103+Agosto!C103+Septiembre!C103+Octubre!C103+Noviembre!C103+Diciembre!C103</f>
        <v>0</v>
      </c>
      <c r="D103" s="33">
        <f>Enero!D103+Febrero!D103+Marzo!D103+Abril!D103+Mayo!D103+Junio!D103+Julio!D103+Agosto!D103+Septiembre!D103+Octubre!D103+Noviembre!D103+Diciembre!D103</f>
        <v>0</v>
      </c>
      <c r="E103" s="33">
        <f t="shared" si="13"/>
        <v>0</v>
      </c>
      <c r="F103" s="34"/>
    </row>
    <row r="104" ht="15.75" customHeight="1">
      <c r="B104" s="9" t="str">
        <f>Categorias!B102</f>
        <v>-</v>
      </c>
      <c r="C104" s="33">
        <f>Enero!C104+Febrero!C104+Marzo!C104+Abril!C104+Mayo!C104+Junio!C104+Julio!C104+Agosto!C104+Septiembre!C104+Octubre!C104+Noviembre!C104+Diciembre!C104</f>
        <v>0</v>
      </c>
      <c r="D104" s="33">
        <f>Enero!D104+Febrero!D104+Marzo!D104+Abril!D104+Mayo!D104+Junio!D104+Julio!D104+Agosto!D104+Septiembre!D104+Octubre!D104+Noviembre!D104+Diciembre!D104</f>
        <v>0</v>
      </c>
      <c r="E104" s="33">
        <f t="shared" si="13"/>
        <v>0</v>
      </c>
      <c r="F104" s="34"/>
    </row>
    <row r="105" ht="15.75" customHeight="1">
      <c r="B105" s="9" t="str">
        <f>Categorias!B103</f>
        <v>-</v>
      </c>
      <c r="C105" s="33">
        <f>Enero!C105+Febrero!C105+Marzo!C105+Abril!C105+Mayo!C105+Junio!C105+Julio!C105+Agosto!C105+Septiembre!C105+Octubre!C105+Noviembre!C105+Diciembre!C105</f>
        <v>0</v>
      </c>
      <c r="D105" s="33">
        <f>Enero!D105+Febrero!D105+Marzo!D105+Abril!D105+Mayo!D105+Junio!D105+Julio!D105+Agosto!D105+Septiembre!D105+Octubre!D105+Noviembre!D105+Diciembre!D105</f>
        <v>0</v>
      </c>
      <c r="E105" s="33">
        <f t="shared" si="13"/>
        <v>0</v>
      </c>
      <c r="F105" s="34"/>
    </row>
    <row r="106" ht="15.75" customHeight="1">
      <c r="B106" s="15"/>
      <c r="C106" s="40"/>
      <c r="D106" s="40"/>
      <c r="E106" s="40"/>
    </row>
    <row r="107" ht="15.75" customHeight="1">
      <c r="B107" s="8" t="str">
        <f>Categorias!B105</f>
        <v>DESARROLLO PERSONAL</v>
      </c>
      <c r="C107" s="31">
        <f>Enero!C107+Febrero!C107+Marzo!C107+Abril!C107+Mayo!C107+Junio!C107+Julio!C107+Agosto!C107+Septiembre!C107+Octubre!C107+Noviembre!C107+Diciembre!C107</f>
        <v>3950</v>
      </c>
      <c r="D107" s="31">
        <f>Enero!D107+Febrero!D107+Marzo!D107+Abril!D107+Mayo!D107+Junio!D107+Julio!D107+Agosto!D107+Septiembre!D107+Octubre!D107+Noviembre!D107+Diciembre!D107</f>
        <v>3902</v>
      </c>
      <c r="E107" s="31">
        <f>SUM(E108:E113)</f>
        <v>48</v>
      </c>
      <c r="F107" s="32"/>
    </row>
    <row r="108" ht="15.75" customHeight="1">
      <c r="B108" s="9" t="str">
        <f>Categorias!B106</f>
        <v>Libros</v>
      </c>
      <c r="C108" s="33">
        <f>Enero!C108+Febrero!C108+Marzo!C108+Abril!C108+Mayo!C108+Junio!C108+Julio!C108+Agosto!C108+Septiembre!C108+Octubre!C108+Noviembre!C108+Diciembre!C108</f>
        <v>0</v>
      </c>
      <c r="D108" s="33">
        <f>Enero!D108+Febrero!D108+Marzo!D108+Abril!D108+Mayo!D108+Junio!D108+Julio!D108+Agosto!D108+Septiembre!D108+Octubre!D108+Noviembre!D108+Diciembre!D108</f>
        <v>502</v>
      </c>
      <c r="E108" s="33">
        <f t="shared" ref="E108:E113" si="14">C108-D108</f>
        <v>-502</v>
      </c>
      <c r="F108" s="34"/>
    </row>
    <row r="109" ht="15.75" customHeight="1">
      <c r="B109" s="9" t="str">
        <f>Categorias!B107</f>
        <v>Platzi</v>
      </c>
      <c r="C109" s="33">
        <f>Enero!C109+Febrero!C109+Marzo!C109+Abril!C109+Mayo!C109+Junio!C109+Julio!C109+Agosto!C109+Septiembre!C109+Octubre!C109+Noviembre!C109+Diciembre!C109</f>
        <v>0</v>
      </c>
      <c r="D109" s="33">
        <f>Enero!D109+Febrero!D109+Marzo!D109+Abril!D109+Mayo!D109+Junio!D109+Julio!D109+Agosto!D109+Septiembre!D109+Octubre!D109+Noviembre!D109+Diciembre!D109</f>
        <v>0</v>
      </c>
      <c r="E109" s="33">
        <f t="shared" si="14"/>
        <v>0</v>
      </c>
      <c r="F109" s="34"/>
    </row>
    <row r="110" ht="15.75" customHeight="1">
      <c r="B110" s="9" t="str">
        <f>Categorias!B108</f>
        <v>Papeleria</v>
      </c>
      <c r="C110" s="33">
        <f>Enero!C110+Febrero!C110+Marzo!C110+Abril!C110+Mayo!C110+Junio!C110+Julio!C110+Agosto!C110+Septiembre!C110+Octubre!C110+Noviembre!C110+Diciembre!C110</f>
        <v>0</v>
      </c>
      <c r="D110" s="33">
        <f>Enero!D110+Febrero!D110+Marzo!D110+Abril!D110+Mayo!D110+Junio!D110+Julio!D110+Agosto!D110+Septiembre!D110+Octubre!D110+Noviembre!D110+Diciembre!D110</f>
        <v>0</v>
      </c>
      <c r="E110" s="33">
        <f t="shared" si="14"/>
        <v>0</v>
      </c>
      <c r="F110" s="34"/>
    </row>
    <row r="111" ht="15.75" customHeight="1">
      <c r="B111" s="9" t="str">
        <f>Categorias!B109</f>
        <v>Inglés Thiago</v>
      </c>
      <c r="C111" s="33">
        <f>Enero!C111+Febrero!C111+Marzo!C111+Abril!C111+Mayo!C111+Junio!C111+Julio!C111+Agosto!C111+Septiembre!C111+Octubre!C111+Noviembre!C111+Diciembre!C111</f>
        <v>1500</v>
      </c>
      <c r="D111" s="33">
        <f>Enero!D111+Febrero!D111+Marzo!D111+Abril!D111+Mayo!D111+Junio!D111+Julio!D111+Agosto!D111+Septiembre!D111+Octubre!D111+Noviembre!D111+Diciembre!D111</f>
        <v>0</v>
      </c>
      <c r="E111" s="33">
        <f t="shared" si="14"/>
        <v>1500</v>
      </c>
      <c r="F111" s="34"/>
    </row>
    <row r="112" ht="15.75" customHeight="1">
      <c r="B112" s="9" t="str">
        <f>Categorias!B110</f>
        <v>Arte Thiago</v>
      </c>
      <c r="C112" s="33">
        <f>Enero!C112+Febrero!C112+Marzo!C112+Abril!C112+Mayo!C112+Junio!C112+Julio!C112+Agosto!C112+Septiembre!C112+Octubre!C112+Noviembre!C112+Diciembre!C112</f>
        <v>450</v>
      </c>
      <c r="D112" s="33">
        <f>Enero!D112+Febrero!D112+Marzo!D112+Abril!D112+Mayo!D112+Junio!D112+Julio!D112+Agosto!D112+Septiembre!D112+Octubre!D112+Noviembre!D112+Diciembre!D112</f>
        <v>400</v>
      </c>
      <c r="E112" s="33">
        <f t="shared" si="14"/>
        <v>50</v>
      </c>
      <c r="F112" s="34"/>
    </row>
    <row r="113" ht="15.75" customHeight="1">
      <c r="B113" s="9" t="str">
        <f>Categorias!B111</f>
        <v>Escuela kary</v>
      </c>
      <c r="C113" s="33">
        <f>Enero!C113+Febrero!C113+Marzo!C113+Abril!C113+Mayo!C113+Junio!C113+Julio!C113+Agosto!C113+Septiembre!C113+Octubre!C113+Noviembre!C113+Diciembre!C113</f>
        <v>2000</v>
      </c>
      <c r="D113" s="33">
        <f>Enero!D113+Febrero!D113+Marzo!D113+Abril!D113+Mayo!D113+Junio!D113+Julio!D113+Agosto!D113+Septiembre!D113+Octubre!D113+Noviembre!D113+Diciembre!D113</f>
        <v>3000</v>
      </c>
      <c r="E113" s="33">
        <f t="shared" si="14"/>
        <v>-1000</v>
      </c>
      <c r="F113" s="34"/>
    </row>
    <row r="114" ht="15.75" customHeight="1">
      <c r="B114" s="15"/>
      <c r="C114" s="40"/>
      <c r="D114" s="40"/>
      <c r="E114" s="40"/>
    </row>
    <row r="115" ht="15.75" customHeight="1">
      <c r="B115" s="8" t="str">
        <f>Categorias!B113</f>
        <v>DIVERSIÓN</v>
      </c>
      <c r="C115" s="31">
        <f>Enero!C115+Febrero!C115+Marzo!C115+Abril!C115+Mayo!C115+Junio!C115+Julio!C115+Agosto!C115+Septiembre!C115+Octubre!C115+Noviembre!C115+Diciembre!C115</f>
        <v>7450</v>
      </c>
      <c r="D115" s="31">
        <f>Enero!D115+Febrero!D115+Marzo!D115+Abril!D115+Mayo!D115+Junio!D115+Julio!D115+Agosto!D115+Septiembre!D115+Octubre!D115+Noviembre!D115+Diciembre!D115</f>
        <v>7588</v>
      </c>
      <c r="E115" s="31">
        <f>SUM(E116:E124)</f>
        <v>-138</v>
      </c>
      <c r="F115" s="32"/>
    </row>
    <row r="116" ht="15.75" customHeight="1">
      <c r="B116" s="9" t="str">
        <f>Categorias!B114</f>
        <v>Cine/teatro</v>
      </c>
      <c r="C116" s="33">
        <f>Enero!C116+Febrero!C116+Marzo!C116+Abril!C116+Mayo!C116+Junio!C116+Julio!C116+Agosto!C116+Septiembre!C116+Octubre!C116+Noviembre!C116+Diciembre!C116</f>
        <v>0</v>
      </c>
      <c r="D116" s="33">
        <f>Enero!D116+Febrero!D116+Marzo!D116+Abril!D116+Mayo!D116+Junio!D116+Julio!D116+Agosto!D116+Septiembre!D116+Octubre!D116+Noviembre!D116+Diciembre!D116</f>
        <v>3577</v>
      </c>
      <c r="E116" s="33">
        <f t="shared" ref="E116:E124" si="15">C116-D116</f>
        <v>-3577</v>
      </c>
      <c r="F116" s="34"/>
    </row>
    <row r="117" ht="15.75" customHeight="1">
      <c r="B117" s="9" t="str">
        <f>Categorias!B115</f>
        <v>Gimnasio/piscina</v>
      </c>
      <c r="C117" s="33">
        <f>Enero!C117+Febrero!C117+Marzo!C117+Abril!C117+Mayo!C117+Junio!C117+Julio!C117+Agosto!C117+Septiembre!C117+Octubre!C117+Noviembre!C117+Diciembre!C117</f>
        <v>7300</v>
      </c>
      <c r="D117" s="33">
        <f>Enero!D117+Febrero!D117+Marzo!D117+Abril!D117+Mayo!D117+Junio!D117+Julio!D117+Agosto!D117+Septiembre!D117+Octubre!D117+Noviembre!D117+Diciembre!D117</f>
        <v>3605</v>
      </c>
      <c r="E117" s="33">
        <f t="shared" si="15"/>
        <v>3695</v>
      </c>
      <c r="F117" s="34"/>
    </row>
    <row r="118" ht="15.75" customHeight="1">
      <c r="B118" s="9" t="str">
        <f>Categorias!B116</f>
        <v>-</v>
      </c>
      <c r="C118" s="33">
        <f>Enero!C118+Febrero!C118+Marzo!C118+Abril!C118+Mayo!C118+Junio!C118+Julio!C118+Agosto!C118+Septiembre!C118+Octubre!C118+Noviembre!C118+Diciembre!C118</f>
        <v>150</v>
      </c>
      <c r="D118" s="33">
        <f>Enero!D118+Febrero!D118+Marzo!D118+Abril!D118+Mayo!D118+Junio!D118+Julio!D118+Agosto!D118+Septiembre!D118+Octubre!D118+Noviembre!D118+Diciembre!D118</f>
        <v>206</v>
      </c>
      <c r="E118" s="33">
        <f t="shared" si="15"/>
        <v>-56</v>
      </c>
      <c r="F118" s="34"/>
    </row>
    <row r="119" ht="15.75" customHeight="1">
      <c r="B119" s="9" t="str">
        <f>Categorias!B117</f>
        <v>-</v>
      </c>
      <c r="C119" s="33">
        <f>Enero!C119+Febrero!C119+Marzo!C119+Abril!C119+Mayo!C119+Junio!C119+Julio!C119+Agosto!C119+Septiembre!C119+Octubre!C119+Noviembre!C119+Diciembre!C119</f>
        <v>0</v>
      </c>
      <c r="D119" s="33">
        <f>Enero!D119+Febrero!D119+Marzo!D119+Abril!D119+Mayo!D119+Junio!D119+Julio!D119+Agosto!D119+Septiembre!D119+Octubre!D119+Noviembre!D119+Diciembre!D119</f>
        <v>0</v>
      </c>
      <c r="E119" s="33">
        <f t="shared" si="15"/>
        <v>0</v>
      </c>
      <c r="F119" s="34"/>
    </row>
    <row r="120" ht="15.75" customHeight="1">
      <c r="B120" s="9" t="str">
        <f>Categorias!B118</f>
        <v>-</v>
      </c>
      <c r="C120" s="33">
        <f>Enero!C120+Febrero!C120+Marzo!C120+Abril!C120+Mayo!C120+Junio!C120+Julio!C120+Agosto!C120+Septiembre!C120+Octubre!C120+Noviembre!C120+Diciembre!C120</f>
        <v>0</v>
      </c>
      <c r="D120" s="33">
        <f>Enero!D120+Febrero!D120+Marzo!D120+Abril!D120+Mayo!D120+Junio!D120+Julio!D120+Agosto!D120+Septiembre!D120+Octubre!D120+Noviembre!D120+Diciembre!D120</f>
        <v>0</v>
      </c>
      <c r="E120" s="33">
        <f t="shared" si="15"/>
        <v>0</v>
      </c>
      <c r="F120" s="34"/>
    </row>
    <row r="121" ht="15.75" customHeight="1">
      <c r="B121" s="9" t="str">
        <f>Categorias!B119</f>
        <v>-</v>
      </c>
      <c r="C121" s="33">
        <f>Enero!C121+Febrero!C121+Marzo!C121+Abril!C121+Mayo!C121+Junio!C121+Julio!C121+Agosto!C121+Septiembre!C121+Octubre!C121+Noviembre!C121+Diciembre!C121</f>
        <v>0</v>
      </c>
      <c r="D121" s="33">
        <f>Enero!D121+Febrero!D121+Marzo!D121+Abril!D121+Mayo!D121+Junio!D121+Julio!D121+Agosto!D121+Septiembre!D121+Octubre!D121+Noviembre!D121+Diciembre!D121</f>
        <v>0</v>
      </c>
      <c r="E121" s="33">
        <f t="shared" si="15"/>
        <v>0</v>
      </c>
      <c r="F121" s="34"/>
    </row>
    <row r="122" ht="15.75" customHeight="1">
      <c r="B122" s="9" t="str">
        <f>Categorias!B120</f>
        <v>-</v>
      </c>
      <c r="C122" s="33">
        <f>Enero!C122+Febrero!C122+Marzo!C122+Abril!C122+Mayo!C122+Junio!C122+Julio!C122+Agosto!C122+Septiembre!C122+Octubre!C122+Noviembre!C122+Diciembre!C122</f>
        <v>0</v>
      </c>
      <c r="D122" s="33">
        <f>Enero!D122+Febrero!D122+Marzo!D122+Abril!D122+Mayo!D122+Junio!D122+Julio!D122+Agosto!D122+Septiembre!D122+Octubre!D122+Noviembre!D122+Diciembre!D122</f>
        <v>0</v>
      </c>
      <c r="E122" s="33">
        <f t="shared" si="15"/>
        <v>0</v>
      </c>
      <c r="F122" s="34"/>
    </row>
    <row r="123" ht="15.75" customHeight="1">
      <c r="B123" s="9" t="str">
        <f>Categorias!B121</f>
        <v>-</v>
      </c>
      <c r="C123" s="33">
        <f>Enero!C123+Febrero!C123+Marzo!C123+Abril!C123+Mayo!C123+Junio!C123+Julio!C123+Agosto!C123+Septiembre!C123+Octubre!C123+Noviembre!C123+Diciembre!C123</f>
        <v>0</v>
      </c>
      <c r="D123" s="33">
        <f>Enero!D123+Febrero!D123+Marzo!D123+Abril!D123+Mayo!D123+Junio!D123+Julio!D123+Agosto!D123+Septiembre!D123+Octubre!D123+Noviembre!D123+Diciembre!D123</f>
        <v>200</v>
      </c>
      <c r="E123" s="33">
        <f t="shared" si="15"/>
        <v>-200</v>
      </c>
      <c r="F123" s="34"/>
    </row>
    <row r="124" ht="15.75" customHeight="1">
      <c r="B124" s="9" t="str">
        <f>Categorias!B122</f>
        <v>-</v>
      </c>
      <c r="C124" s="33">
        <f>Enero!C124+Febrero!C124+Marzo!C124+Abril!C124+Mayo!C124+Junio!C124+Julio!C124+Agosto!C124+Septiembre!C124+Octubre!C124+Noviembre!C124+Diciembre!C124</f>
        <v>0</v>
      </c>
      <c r="D124" s="33">
        <f>Enero!D124+Febrero!D124+Marzo!D124+Abril!D124+Mayo!D124+Junio!D124+Julio!D124+Agosto!D124+Septiembre!D124+Octubre!D124+Noviembre!D124+Diciembre!D124</f>
        <v>0</v>
      </c>
      <c r="E124" s="33">
        <f t="shared" si="15"/>
        <v>0</v>
      </c>
      <c r="F124" s="34"/>
    </row>
    <row r="125" ht="15.75" customHeight="1">
      <c r="B125" s="15"/>
      <c r="C125" s="40"/>
      <c r="D125" s="40"/>
      <c r="E125" s="40"/>
    </row>
    <row r="126" ht="15.75" customHeight="1">
      <c r="B126" s="8" t="str">
        <f>Categorias!B124</f>
        <v>DEUDAS</v>
      </c>
      <c r="C126" s="31">
        <f>Enero!C126+Febrero!C126+Marzo!C126+Abril!C126+Mayo!C126+Junio!C126+Julio!C126+Agosto!C126+Septiembre!C126+Octubre!C126+Noviembre!C126+Diciembre!C126</f>
        <v>74831.6</v>
      </c>
      <c r="D126" s="31">
        <f>Enero!D126+Febrero!D126+Marzo!D126+Abril!D126+Mayo!D126+Junio!D126+Julio!D126+Agosto!D126+Septiembre!D126+Octubre!D126+Noviembre!D126+Diciembre!D126</f>
        <v>30660.02</v>
      </c>
      <c r="E126" s="31">
        <f>SUM(E127:E134)</f>
        <v>44171.58</v>
      </c>
      <c r="F126" s="32"/>
    </row>
    <row r="127" ht="15.75" customHeight="1">
      <c r="B127" s="9" t="str">
        <f>Categorias!B125</f>
        <v>Anualidad Prestige</v>
      </c>
      <c r="C127" s="33">
        <f>Enero!C127+Febrero!C127+Marzo!C127+Abril!C127+Mayo!C127+Junio!C127+Julio!C127+Agosto!C127+Septiembre!C127+Octubre!C127+Noviembre!C127+Diciembre!C127</f>
        <v>53420</v>
      </c>
      <c r="D127" s="33">
        <f>Enero!D127+Febrero!D127+Marzo!D127+Abril!D127+Mayo!D127+Junio!D127+Julio!D127+Agosto!D127+Septiembre!D127+Octubre!D127+Noviembre!D127+Diciembre!D127</f>
        <v>21909.12</v>
      </c>
      <c r="E127" s="33">
        <f t="shared" ref="E127:E134" si="16">C127-D127</f>
        <v>31510.88</v>
      </c>
      <c r="F127" s="34"/>
    </row>
    <row r="128" ht="15.75" customHeight="1">
      <c r="B128" s="9" t="str">
        <f>Categorias!B126</f>
        <v>Anualidad Platinum</v>
      </c>
      <c r="C128" s="33">
        <f>Enero!C128+Febrero!C128+Marzo!C128+Abril!C128+Mayo!C128+Junio!C128+Julio!C128+Agosto!C128+Septiembre!C128+Octubre!C128+Noviembre!C128+Diciembre!C128</f>
        <v>14490.54</v>
      </c>
      <c r="D128" s="33">
        <f>Enero!D128+Febrero!D128+Marzo!D128+Abril!D128+Mayo!D128+Junio!D128+Julio!D128+Agosto!D128+Septiembre!D128+Octubre!D128+Noviembre!D128+Diciembre!D128</f>
        <v>5229.84</v>
      </c>
      <c r="E128" s="33">
        <f t="shared" si="16"/>
        <v>9260.7</v>
      </c>
      <c r="F128" s="34"/>
    </row>
    <row r="129" ht="15.75" customHeight="1">
      <c r="B129" s="9" t="str">
        <f>Categorias!B127</f>
        <v>-</v>
      </c>
      <c r="C129" s="33">
        <f>Enero!C129+Febrero!C129+Marzo!C129+Abril!C129+Mayo!C129+Junio!C129+Julio!C129+Agosto!C129+Septiembre!C129+Octubre!C129+Noviembre!C129+Diciembre!C129</f>
        <v>6921.06</v>
      </c>
      <c r="D129" s="33">
        <f>Enero!D129+Febrero!D129+Marzo!D129+Abril!D129+Mayo!D129+Junio!D129+Julio!D129+Agosto!D129+Septiembre!D129+Octubre!D129+Noviembre!D129+Diciembre!D129</f>
        <v>1400</v>
      </c>
      <c r="E129" s="33">
        <f t="shared" si="16"/>
        <v>5521.06</v>
      </c>
      <c r="F129" s="34"/>
    </row>
    <row r="130" ht="15.75" customHeight="1">
      <c r="B130" s="9" t="str">
        <f>Categorias!B128</f>
        <v>-</v>
      </c>
      <c r="C130" s="33">
        <f>Enero!C130+Febrero!C130+Marzo!C130+Abril!C130+Mayo!C130+Junio!C130+Julio!C130+Agosto!C130+Septiembre!C130+Octubre!C130+Noviembre!C130+Diciembre!C130</f>
        <v>0</v>
      </c>
      <c r="D130" s="33">
        <f>Enero!D130+Febrero!D130+Marzo!D130+Abril!D130+Mayo!D130+Junio!D130+Julio!D130+Agosto!D130+Septiembre!D130+Octubre!D130+Noviembre!D130+Diciembre!D130</f>
        <v>2121.06</v>
      </c>
      <c r="E130" s="33">
        <f t="shared" si="16"/>
        <v>-2121.06</v>
      </c>
      <c r="F130" s="34"/>
    </row>
    <row r="131" ht="15.75" customHeight="1">
      <c r="B131" s="9" t="str">
        <f>Categorias!B129</f>
        <v>-</v>
      </c>
      <c r="C131" s="33">
        <f>Enero!C131+Febrero!C131+Marzo!C131+Abril!C131+Mayo!C131+Junio!C131+Julio!C131+Agosto!C131+Septiembre!C131+Octubre!C131+Noviembre!C131+Diciembre!C131</f>
        <v>0</v>
      </c>
      <c r="D131" s="33">
        <f>Enero!D131+Febrero!D131+Marzo!D131+Abril!D131+Mayo!D131+Junio!D131+Julio!D131+Agosto!D131+Septiembre!D131+Octubre!D131+Noviembre!D131+Diciembre!D131</f>
        <v>0</v>
      </c>
      <c r="E131" s="33">
        <f t="shared" si="16"/>
        <v>0</v>
      </c>
      <c r="F131" s="34"/>
    </row>
    <row r="132" ht="15.75" customHeight="1">
      <c r="B132" s="9" t="str">
        <f>Categorias!B130</f>
        <v>-</v>
      </c>
      <c r="C132" s="33">
        <f>Enero!C132+Febrero!C132+Marzo!C132+Abril!C132+Mayo!C132+Junio!C132+Julio!C132+Agosto!C132+Septiembre!C132+Octubre!C132+Noviembre!C132+Diciembre!C132</f>
        <v>0</v>
      </c>
      <c r="D132" s="33">
        <f>Enero!D132+Febrero!D132+Marzo!D132+Abril!D132+Mayo!D132+Junio!D132+Julio!D132+Agosto!D132+Septiembre!D132+Octubre!D132+Noviembre!D132+Diciembre!D132</f>
        <v>0</v>
      </c>
      <c r="E132" s="33">
        <f t="shared" si="16"/>
        <v>0</v>
      </c>
      <c r="F132" s="34"/>
    </row>
    <row r="133" ht="15.75" customHeight="1">
      <c r="B133" s="9" t="str">
        <f>Categorias!B131</f>
        <v>-</v>
      </c>
      <c r="C133" s="33">
        <f>Enero!C133+Febrero!C133+Marzo!C133+Abril!C133+Mayo!C133+Junio!C133+Julio!C133+Agosto!C133+Septiembre!C133+Octubre!C133+Noviembre!C133+Diciembre!C133</f>
        <v>0</v>
      </c>
      <c r="D133" s="33">
        <f>Enero!D133+Febrero!D133+Marzo!D133+Abril!D133+Mayo!D133+Junio!D133+Julio!D133+Agosto!D133+Septiembre!D133+Octubre!D133+Noviembre!D133+Diciembre!D133</f>
        <v>0</v>
      </c>
      <c r="E133" s="33">
        <f t="shared" si="16"/>
        <v>0</v>
      </c>
      <c r="F133" s="34"/>
    </row>
    <row r="134" ht="15.75" customHeight="1">
      <c r="B134" s="9" t="str">
        <f>Categorias!B132</f>
        <v>-</v>
      </c>
      <c r="C134" s="33">
        <f>Enero!C134+Febrero!C134+Marzo!C134+Abril!C134+Mayo!C134+Junio!C134+Julio!C134+Agosto!C134+Septiembre!C134+Octubre!C134+Noviembre!C134+Diciembre!C134</f>
        <v>0</v>
      </c>
      <c r="D134" s="33">
        <f>Enero!D134+Febrero!D134+Marzo!D134+Abril!D134+Mayo!D134+Junio!D134+Julio!D134+Agosto!D134+Septiembre!D134+Octubre!D134+Noviembre!D134+Diciembre!D134</f>
        <v>0</v>
      </c>
      <c r="E134" s="33">
        <f t="shared" si="16"/>
        <v>0</v>
      </c>
      <c r="F134" s="34"/>
    </row>
    <row r="135" ht="15.75" customHeight="1">
      <c r="B135" s="13"/>
      <c r="C135" s="40"/>
      <c r="D135" s="40"/>
      <c r="E135" s="40"/>
    </row>
    <row r="136" ht="15.75" customHeight="1">
      <c r="B136" s="8" t="str">
        <f>Categorias!B134</f>
        <v>OTROS GASTOS</v>
      </c>
      <c r="C136" s="31">
        <f>Enero!C136+Febrero!C136+Marzo!C136+Abril!C136+Mayo!C136+Junio!C136+Julio!C136+Agosto!C136+Septiembre!C136+Octubre!C136+Noviembre!C136+Diciembre!C136</f>
        <v>6469.17</v>
      </c>
      <c r="D136" s="31">
        <f>Enero!D136+Febrero!D136+Marzo!D136+Abril!D136+Mayo!D136+Junio!D136+Julio!D136+Agosto!D136+Septiembre!D136+Octubre!D136+Noviembre!D136+Diciembre!D136</f>
        <v>11512</v>
      </c>
      <c r="E136" s="31">
        <f>SUM(E137:E144)</f>
        <v>-5042.83</v>
      </c>
      <c r="F136" s="32"/>
    </row>
    <row r="137" ht="15.75" customHeight="1">
      <c r="B137" s="9" t="str">
        <f>Categorias!B135</f>
        <v>Regalos</v>
      </c>
      <c r="C137" s="33">
        <f>Enero!C137+Febrero!C137+Marzo!C137+Abril!C137+Mayo!C137+Junio!C137+Julio!C137+Agosto!C137+Septiembre!C137+Octubre!C137+Noviembre!C137+Diciembre!C137</f>
        <v>500</v>
      </c>
      <c r="D137" s="33">
        <f>Enero!D137+Febrero!D137+Marzo!D137+Abril!D137+Mayo!D137+Junio!D137+Julio!D137+Agosto!D137+Septiembre!D137+Octubre!D137+Noviembre!D137+Diciembre!D137</f>
        <v>7759</v>
      </c>
      <c r="E137" s="33">
        <f t="shared" ref="E137:E144" si="17">C137-D137</f>
        <v>-7259</v>
      </c>
      <c r="F137" s="34"/>
    </row>
    <row r="138" ht="15.75" customHeight="1">
      <c r="B138" s="9" t="str">
        <f>Categorias!B136</f>
        <v>Vacaciones</v>
      </c>
      <c r="C138" s="33">
        <f>Enero!C138+Febrero!C138+Marzo!C138+Abril!C138+Mayo!C138+Junio!C138+Julio!C138+Agosto!C138+Septiembre!C138+Octubre!C138+Noviembre!C138+Diciembre!C138</f>
        <v>0</v>
      </c>
      <c r="D138" s="33">
        <f>Enero!D138+Febrero!D138+Marzo!D138+Abril!D138+Mayo!D138+Junio!D138+Julio!D138+Agosto!D138+Septiembre!D138+Octubre!D138+Noviembre!D138+Diciembre!D138</f>
        <v>0</v>
      </c>
      <c r="E138" s="33">
        <f t="shared" si="17"/>
        <v>0</v>
      </c>
      <c r="F138" s="34"/>
    </row>
    <row r="139" ht="15.75" customHeight="1">
      <c r="B139" s="9" t="str">
        <f>Categorias!B137</f>
        <v>Veterinario</v>
      </c>
      <c r="C139" s="33">
        <f>Enero!C139+Febrero!C139+Marzo!C139+Abril!C139+Mayo!C139+Junio!C139+Julio!C139+Agosto!C139+Septiembre!C139+Octubre!C139+Noviembre!C139+Diciembre!C139</f>
        <v>1700</v>
      </c>
      <c r="D139" s="33">
        <f>Enero!D139+Febrero!D139+Marzo!D139+Abril!D139+Mayo!D139+Junio!D139+Julio!D139+Agosto!D139+Septiembre!D139+Octubre!D139+Noviembre!D139+Diciembre!D139</f>
        <v>1597</v>
      </c>
      <c r="E139" s="33">
        <f t="shared" si="17"/>
        <v>103</v>
      </c>
      <c r="F139" s="34"/>
    </row>
    <row r="140" ht="15.75" customHeight="1">
      <c r="B140" s="9" t="str">
        <f>Categorias!B138</f>
        <v>Comida mascota</v>
      </c>
      <c r="C140" s="33">
        <f>Enero!C140+Febrero!C140+Marzo!C140+Abril!C140+Mayo!C140+Junio!C140+Julio!C140+Agosto!C140+Septiembre!C140+Octubre!C140+Noviembre!C140+Diciembre!C140</f>
        <v>1650</v>
      </c>
      <c r="D140" s="33">
        <f>Enero!D140+Febrero!D140+Marzo!D140+Abril!D140+Mayo!D140+Junio!D140+Julio!D140+Agosto!D140+Septiembre!D140+Octubre!D140+Noviembre!D140+Diciembre!D140</f>
        <v>1656</v>
      </c>
      <c r="E140" s="33">
        <f t="shared" si="17"/>
        <v>-6</v>
      </c>
      <c r="F140" s="34"/>
    </row>
    <row r="141" ht="15.75" customHeight="1">
      <c r="B141" s="9" t="str">
        <f>Categorias!B139</f>
        <v>-</v>
      </c>
      <c r="C141" s="33">
        <f>Enero!C141+Febrero!C141+Marzo!C141+Abril!C141+Mayo!C141+Junio!C141+Julio!C141+Agosto!C141+Septiembre!C141+Octubre!C141+Noviembre!C141+Diciembre!C141</f>
        <v>2619.17</v>
      </c>
      <c r="D141" s="33">
        <f>Enero!D141+Febrero!D141+Marzo!D141+Abril!D141+Mayo!D141+Junio!D141+Julio!D141+Agosto!D141+Septiembre!D141+Octubre!D141+Noviembre!D141+Diciembre!D141</f>
        <v>500</v>
      </c>
      <c r="E141" s="33">
        <f t="shared" si="17"/>
        <v>2119.17</v>
      </c>
      <c r="F141" s="34"/>
    </row>
    <row r="142" ht="15.75" customHeight="1">
      <c r="B142" s="9" t="str">
        <f>Categorias!B140</f>
        <v>-</v>
      </c>
      <c r="C142" s="33">
        <f>Enero!C142+Febrero!C142+Marzo!C142+Abril!C142+Mayo!C142+Junio!C142+Julio!C142+Agosto!C142+Septiembre!C142+Octubre!C142+Noviembre!C142+Diciembre!C142</f>
        <v>0</v>
      </c>
      <c r="D142" s="33">
        <f>Enero!D142+Febrero!D142+Marzo!D142+Abril!D142+Mayo!D142+Junio!D142+Julio!D142+Agosto!D142+Septiembre!D142+Octubre!D142+Noviembre!D142+Diciembre!D142</f>
        <v>0</v>
      </c>
      <c r="E142" s="33">
        <f t="shared" si="17"/>
        <v>0</v>
      </c>
      <c r="F142" s="34"/>
    </row>
    <row r="143" ht="15.75" customHeight="1">
      <c r="B143" s="9" t="str">
        <f>Categorias!B141</f>
        <v>-</v>
      </c>
      <c r="C143" s="33">
        <f>Enero!C143+Febrero!C143+Marzo!C143+Abril!C143+Mayo!C143+Junio!C143+Julio!C143+Agosto!C143+Septiembre!C143+Octubre!C143+Noviembre!C143+Diciembre!C143</f>
        <v>0</v>
      </c>
      <c r="D143" s="33">
        <f>Enero!D143+Febrero!D143+Marzo!D143+Abril!D143+Mayo!D143+Junio!D143+Julio!D143+Agosto!D143+Septiembre!D143+Octubre!D143+Noviembre!D143+Diciembre!D143</f>
        <v>0</v>
      </c>
      <c r="E143" s="33">
        <f t="shared" si="17"/>
        <v>0</v>
      </c>
      <c r="F143" s="34"/>
    </row>
    <row r="144" ht="15.75" customHeight="1">
      <c r="B144" s="9" t="str">
        <f>Categorias!B142</f>
        <v>-</v>
      </c>
      <c r="C144" s="33">
        <f>Enero!C144+Febrero!C144+Marzo!C144+Abril!C144+Mayo!C144+Junio!C144+Julio!C144+Agosto!C144+Septiembre!C144+Octubre!C144+Noviembre!C144+Diciembre!C144</f>
        <v>0</v>
      </c>
      <c r="D144" s="33">
        <f>Enero!D144+Febrero!D144+Marzo!D144+Abril!D144+Mayo!D144+Junio!D144+Julio!D144+Agosto!D144+Septiembre!D144+Octubre!D144+Noviembre!D144+Diciembre!D144</f>
        <v>0</v>
      </c>
      <c r="E144" s="33">
        <f t="shared" si="17"/>
        <v>0</v>
      </c>
      <c r="F144" s="34"/>
    </row>
    <row r="145" ht="15.75" customHeight="1">
      <c r="B145" s="15"/>
      <c r="C145" s="40"/>
      <c r="D145" s="40"/>
      <c r="E145" s="40"/>
    </row>
    <row r="146" ht="15.75" customHeight="1">
      <c r="B146" s="8" t="str">
        <f>Categorias!B144</f>
        <v>AHORROS</v>
      </c>
      <c r="C146" s="31">
        <f>Enero!C146+Febrero!C146+Marzo!C146+Abril!C146+Mayo!C146+Junio!C146+Julio!C146+Agosto!C146+Septiembre!C146+Octubre!C146+Noviembre!C146+Diciembre!C146</f>
        <v>18000</v>
      </c>
      <c r="D146" s="31">
        <f>Enero!D146+Febrero!D146+Marzo!D146+Abril!D146+Mayo!D146+Junio!D146+Julio!D146+Agosto!D146+Septiembre!D146+Octubre!D146+Noviembre!D146+Diciembre!D146</f>
        <v>2100</v>
      </c>
      <c r="E146" s="31">
        <f>SUM(E147:E156)</f>
        <v>15900</v>
      </c>
      <c r="F146" s="32"/>
    </row>
    <row r="147" ht="15.75" customHeight="1">
      <c r="B147" s="9" t="str">
        <f>Categorias!B145</f>
        <v>Ahorro Inversion</v>
      </c>
      <c r="C147" s="33">
        <f>Enero!C147+Febrero!C147+Marzo!C147+Abril!C147+Mayo!C147+Junio!C147+Julio!C147+Agosto!C147+Septiembre!C147+Octubre!C147+Noviembre!C147+Diciembre!C147</f>
        <v>18000</v>
      </c>
      <c r="D147" s="33">
        <f>Enero!D147+Febrero!D147+Marzo!D147+Abril!D147+Mayo!D147+Junio!D147+Julio!D147+Agosto!D147+Septiembre!D147+Octubre!D147+Noviembre!D147+Diciembre!D147</f>
        <v>2000</v>
      </c>
      <c r="E147" s="33">
        <f t="shared" ref="E147:E156" si="18">C147-D147</f>
        <v>16000</v>
      </c>
      <c r="F147" s="34"/>
    </row>
    <row r="148" ht="15.75" customHeight="1">
      <c r="B148" s="9" t="str">
        <f>Categorias!B146</f>
        <v>-</v>
      </c>
      <c r="C148" s="33">
        <f>Enero!C148+Febrero!C148+Marzo!C148+Abril!C148+Mayo!C148+Junio!C148+Julio!C148+Agosto!C148+Septiembre!C148+Octubre!C148+Noviembre!C148+Diciembre!C148</f>
        <v>0</v>
      </c>
      <c r="D148" s="33">
        <f>Enero!D148+Febrero!D148+Marzo!D148+Abril!D148+Mayo!D148+Junio!D148+Julio!D148+Agosto!D148+Septiembre!D148+Octubre!D148+Noviembre!D148+Diciembre!D148</f>
        <v>0</v>
      </c>
      <c r="E148" s="33">
        <f t="shared" si="18"/>
        <v>0</v>
      </c>
      <c r="F148" s="34"/>
    </row>
    <row r="149" ht="15.75" customHeight="1">
      <c r="B149" s="9" t="str">
        <f>Categorias!B147</f>
        <v>-</v>
      </c>
      <c r="C149" s="33">
        <f>Enero!C149+Febrero!C149+Marzo!C149+Abril!C149+Mayo!C149+Junio!C149+Julio!C149+Agosto!C149+Septiembre!C149+Octubre!C149+Noviembre!C149+Diciembre!C149</f>
        <v>0</v>
      </c>
      <c r="D149" s="33">
        <f>Enero!D149+Febrero!D149+Marzo!D149+Abril!D149+Mayo!D149+Junio!D149+Julio!D149+Agosto!D149+Septiembre!D149+Octubre!D149+Noviembre!D149+Diciembre!D149</f>
        <v>0</v>
      </c>
      <c r="E149" s="33">
        <f t="shared" si="18"/>
        <v>0</v>
      </c>
      <c r="F149" s="34"/>
    </row>
    <row r="150" ht="15.75" customHeight="1">
      <c r="B150" s="9" t="str">
        <f>Categorias!B148</f>
        <v>-</v>
      </c>
      <c r="C150" s="33">
        <f>Enero!C150+Febrero!C150+Marzo!C150+Abril!C150+Mayo!C150+Junio!C150+Julio!C150+Agosto!C150+Septiembre!C150+Octubre!C150+Noviembre!C150+Diciembre!C150</f>
        <v>0</v>
      </c>
      <c r="D150" s="33">
        <f>Enero!D150+Febrero!D150+Marzo!D150+Abril!D150+Mayo!D150+Junio!D150+Julio!D150+Agosto!D150+Septiembre!D150+Octubre!D150+Noviembre!D150+Diciembre!D150</f>
        <v>0</v>
      </c>
      <c r="E150" s="33">
        <f t="shared" si="18"/>
        <v>0</v>
      </c>
      <c r="F150" s="34"/>
    </row>
    <row r="151" ht="15.75" customHeight="1">
      <c r="B151" s="9" t="str">
        <f>Categorias!B149</f>
        <v>-</v>
      </c>
      <c r="C151" s="33">
        <f>Enero!C151+Febrero!C151+Marzo!C151+Abril!C151+Mayo!C151+Junio!C151+Julio!C151+Agosto!C151+Septiembre!C151+Octubre!C151+Noviembre!C151+Diciembre!C151</f>
        <v>0</v>
      </c>
      <c r="D151" s="33">
        <f>Enero!D151+Febrero!D151+Marzo!D151+Abril!D151+Mayo!D151+Junio!D151+Julio!D151+Agosto!D151+Septiembre!D151+Octubre!D151+Noviembre!D151+Diciembre!D151</f>
        <v>0</v>
      </c>
      <c r="E151" s="33">
        <f t="shared" si="18"/>
        <v>0</v>
      </c>
      <c r="F151" s="34"/>
    </row>
    <row r="152" ht="15.75" customHeight="1">
      <c r="B152" s="9" t="str">
        <f>Categorias!B150</f>
        <v>-</v>
      </c>
      <c r="C152" s="33">
        <f>Enero!C152+Febrero!C152+Marzo!C152+Abril!C152+Mayo!C152+Junio!C152+Julio!C152+Agosto!C152+Septiembre!C152+Octubre!C152+Noviembre!C152+Diciembre!C152</f>
        <v>0</v>
      </c>
      <c r="D152" s="33">
        <f>Enero!D152+Febrero!D152+Marzo!D152+Abril!D152+Mayo!D152+Junio!D152+Julio!D152+Agosto!D152+Septiembre!D152+Octubre!D152+Noviembre!D152+Diciembre!D152</f>
        <v>100</v>
      </c>
      <c r="E152" s="33">
        <f t="shared" si="18"/>
        <v>-100</v>
      </c>
      <c r="F152" s="34"/>
    </row>
    <row r="153" ht="15.75" customHeight="1">
      <c r="B153" s="9" t="str">
        <f>Categorias!B151</f>
        <v>-</v>
      </c>
      <c r="C153" s="33">
        <f>Enero!C153+Febrero!C153+Marzo!C153+Abril!C153+Mayo!C153+Junio!C153+Julio!C153+Agosto!C153+Septiembre!C153+Octubre!C153+Noviembre!C153+Diciembre!C153</f>
        <v>0</v>
      </c>
      <c r="D153" s="33">
        <f>Enero!D153+Febrero!D153+Marzo!D153+Abril!D153+Mayo!D153+Junio!D153+Julio!D153+Agosto!D153+Septiembre!D153+Octubre!D153+Noviembre!D153+Diciembre!D153</f>
        <v>0</v>
      </c>
      <c r="E153" s="33">
        <f t="shared" si="18"/>
        <v>0</v>
      </c>
      <c r="F153" s="34"/>
    </row>
    <row r="154" ht="15.75" customHeight="1">
      <c r="B154" s="9" t="str">
        <f>Categorias!B152</f>
        <v>-</v>
      </c>
      <c r="C154" s="33">
        <f>Enero!C154+Febrero!C154+Marzo!C154+Abril!C154+Mayo!C154+Junio!C154+Julio!C154+Agosto!C154+Septiembre!C154+Octubre!C154+Noviembre!C154+Diciembre!C154</f>
        <v>0</v>
      </c>
      <c r="D154" s="33">
        <f>Enero!D154+Febrero!D154+Marzo!D154+Abril!D154+Mayo!D154+Junio!D154+Julio!D154+Agosto!D154+Septiembre!D154+Octubre!D154+Noviembre!D154+Diciembre!D154</f>
        <v>0</v>
      </c>
      <c r="E154" s="33">
        <f t="shared" si="18"/>
        <v>0</v>
      </c>
      <c r="F154" s="34"/>
    </row>
    <row r="155" ht="15.75" customHeight="1">
      <c r="B155" s="9" t="str">
        <f>Categorias!B153</f>
        <v>-</v>
      </c>
      <c r="C155" s="33">
        <f>Enero!C155+Febrero!C155+Marzo!C155+Abril!C155+Mayo!C155+Junio!C155+Julio!C155+Agosto!C155+Septiembre!C155+Octubre!C155+Noviembre!C155+Diciembre!C155</f>
        <v>0</v>
      </c>
      <c r="D155" s="33">
        <f>Enero!D155+Febrero!D155+Marzo!D155+Abril!D155+Mayo!D155+Junio!D155+Julio!D155+Agosto!D155+Septiembre!D155+Octubre!D155+Noviembre!D155+Diciembre!D155</f>
        <v>0</v>
      </c>
      <c r="E155" s="33">
        <f t="shared" si="18"/>
        <v>0</v>
      </c>
      <c r="F155" s="34"/>
    </row>
    <row r="156" ht="15.75" customHeight="1">
      <c r="B156" s="9" t="str">
        <f>Categorias!B154</f>
        <v>-</v>
      </c>
      <c r="C156" s="33">
        <f>Enero!C156+Febrero!C156+Marzo!C156+Abril!C156+Mayo!C156+Junio!C156+Julio!C156+Agosto!C156+Septiembre!C156+Octubre!C156+Noviembre!C156+Diciembre!C156</f>
        <v>0</v>
      </c>
      <c r="D156" s="33">
        <f>Enero!D156+Febrero!D156+Marzo!D156+Abril!D156+Mayo!D156+Junio!D156+Julio!D156+Agosto!D156+Septiembre!D156+Octubre!D156+Noviembre!D156+Diciembre!D156</f>
        <v>0</v>
      </c>
      <c r="E156" s="33">
        <f t="shared" si="18"/>
        <v>0</v>
      </c>
      <c r="F156" s="34"/>
    </row>
    <row r="157" ht="15.75" customHeight="1">
      <c r="A157" s="43"/>
      <c r="B157" s="16"/>
      <c r="C157" s="42"/>
      <c r="D157" s="42"/>
      <c r="E157" s="42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B158" s="8" t="str">
        <f>Categorias!B156</f>
        <v>OTROS</v>
      </c>
      <c r="C158" s="31">
        <f>Enero!C158+Febrero!C158+Marzo!C158+Abril!C158+Mayo!C158+Junio!C158+Julio!C158+Agosto!C158+Septiembre!C158+Octubre!C158+Noviembre!C158+Diciembre!C158</f>
        <v>400</v>
      </c>
      <c r="D158" s="31">
        <f>Enero!D158+Febrero!D158+Marzo!D158+Abril!D158+Mayo!D158+Junio!D158+Julio!D158+Agosto!D158+Septiembre!D158+Octubre!D158+Noviembre!D158+Diciembre!D158</f>
        <v>17152</v>
      </c>
      <c r="E158" s="31">
        <f>SUM(E159:E166)</f>
        <v>-16752</v>
      </c>
      <c r="F158" s="32"/>
    </row>
    <row r="159" ht="15.75" customHeight="1">
      <c r="B159" s="9" t="str">
        <f>Categorias!B157</f>
        <v>-</v>
      </c>
      <c r="C159" s="33">
        <f>Enero!C159+Febrero!C159+Marzo!C159+Abril!C159+Mayo!C159+Junio!C159+Julio!C159+Agosto!C159+Septiembre!C159+Octubre!C159+Noviembre!C159+Diciembre!C159</f>
        <v>400</v>
      </c>
      <c r="D159" s="33">
        <f>Enero!D159+Febrero!D159+Marzo!D159+Abril!D159+Mayo!D159+Junio!D159+Julio!D159+Agosto!D159+Septiembre!D159+Octubre!D159+Noviembre!D159+Diciembre!D159</f>
        <v>7152</v>
      </c>
      <c r="E159" s="33">
        <f t="shared" ref="E159:E166" si="19">C159-D159</f>
        <v>-6752</v>
      </c>
      <c r="F159" s="34"/>
    </row>
    <row r="160" ht="15.75" customHeight="1">
      <c r="B160" s="9" t="str">
        <f>Categorias!B158</f>
        <v>-</v>
      </c>
      <c r="C160" s="33">
        <f>Enero!C160+Febrero!C160+Marzo!C160+Abril!C160+Mayo!C160+Junio!C160+Julio!C160+Agosto!C160+Septiembre!C160+Octubre!C160+Noviembre!C160+Diciembre!C160</f>
        <v>0</v>
      </c>
      <c r="D160" s="33">
        <f>Enero!D160+Febrero!D160+Marzo!D160+Abril!D160+Mayo!D160+Junio!D160+Julio!D160+Agosto!D160+Septiembre!D160+Octubre!D160+Noviembre!D160+Diciembre!D160</f>
        <v>10000</v>
      </c>
      <c r="E160" s="33">
        <f t="shared" si="19"/>
        <v>-10000</v>
      </c>
      <c r="F160" s="34"/>
    </row>
    <row r="161" ht="15.75" customHeight="1">
      <c r="B161" s="9" t="str">
        <f>Categorias!B159</f>
        <v>-</v>
      </c>
      <c r="C161" s="33">
        <f>Enero!C161+Febrero!C161+Marzo!C161+Abril!C161+Mayo!C161+Junio!C161+Julio!C161+Agosto!C161+Septiembre!C161+Octubre!C161+Noviembre!C161+Diciembre!C161</f>
        <v>0</v>
      </c>
      <c r="D161" s="33">
        <f>Enero!D161+Febrero!D161+Marzo!D161+Abril!D161+Mayo!D161+Junio!D161+Julio!D161+Agosto!D161+Septiembre!D161+Octubre!D161+Noviembre!D161+Diciembre!D161</f>
        <v>0</v>
      </c>
      <c r="E161" s="33">
        <f t="shared" si="19"/>
        <v>0</v>
      </c>
      <c r="F161" s="34"/>
    </row>
    <row r="162" ht="15.75" customHeight="1">
      <c r="B162" s="9" t="str">
        <f>Categorias!B160</f>
        <v>-</v>
      </c>
      <c r="C162" s="33">
        <f>Enero!C162+Febrero!C162+Marzo!C162+Abril!C162+Mayo!C162+Junio!C162+Julio!C162+Agosto!C162+Septiembre!C162+Octubre!C162+Noviembre!C162+Diciembre!C162</f>
        <v>0</v>
      </c>
      <c r="D162" s="33">
        <f>Enero!D162+Febrero!D162+Marzo!D162+Abril!D162+Mayo!D162+Junio!D162+Julio!D162+Agosto!D162+Septiembre!D162+Octubre!D162+Noviembre!D162+Diciembre!D162</f>
        <v>0</v>
      </c>
      <c r="E162" s="33">
        <f t="shared" si="19"/>
        <v>0</v>
      </c>
      <c r="F162" s="34"/>
    </row>
    <row r="163" ht="15.75" customHeight="1">
      <c r="B163" s="9" t="str">
        <f>Categorias!B161</f>
        <v>-</v>
      </c>
      <c r="C163" s="33">
        <f>Enero!C163+Febrero!C163+Marzo!C163+Abril!C163+Mayo!C163+Junio!C163+Julio!C163+Agosto!C163+Septiembre!C163+Octubre!C163+Noviembre!C163+Diciembre!C163</f>
        <v>0</v>
      </c>
      <c r="D163" s="33">
        <f>Enero!D163+Febrero!D163+Marzo!D163+Abril!D163+Mayo!D163+Junio!D163+Julio!D163+Agosto!D163+Septiembre!D163+Octubre!D163+Noviembre!D163+Diciembre!D163</f>
        <v>0</v>
      </c>
      <c r="E163" s="33">
        <f t="shared" si="19"/>
        <v>0</v>
      </c>
      <c r="F163" s="34"/>
    </row>
    <row r="164" ht="15.75" customHeight="1">
      <c r="B164" s="9" t="str">
        <f>Categorias!B162</f>
        <v>-</v>
      </c>
      <c r="C164" s="33">
        <f>Enero!C164+Febrero!C164+Marzo!C164+Abril!C164+Mayo!C164+Junio!C164+Julio!C164+Agosto!C164+Septiembre!C164+Octubre!C164+Noviembre!C164+Diciembre!C164</f>
        <v>0</v>
      </c>
      <c r="D164" s="33">
        <f>Enero!D164+Febrero!D164+Marzo!D164+Abril!D164+Mayo!D164+Junio!D164+Julio!D164+Agosto!D164+Septiembre!D164+Octubre!D164+Noviembre!D164+Diciembre!D164</f>
        <v>0</v>
      </c>
      <c r="E164" s="33">
        <f t="shared" si="19"/>
        <v>0</v>
      </c>
      <c r="F164" s="34"/>
    </row>
    <row r="165" ht="15.75" customHeight="1">
      <c r="B165" s="9" t="str">
        <f>Categorias!B163</f>
        <v>-</v>
      </c>
      <c r="C165" s="33">
        <f>Enero!C165+Febrero!C165+Marzo!C165+Abril!C165+Mayo!C165+Junio!C165+Julio!C165+Agosto!C165+Septiembre!C165+Octubre!C165+Noviembre!C165+Diciembre!C165</f>
        <v>0</v>
      </c>
      <c r="D165" s="33">
        <f>Enero!D165+Febrero!D165+Marzo!D165+Abril!D165+Mayo!D165+Junio!D165+Julio!D165+Agosto!D165+Septiembre!D165+Octubre!D165+Noviembre!D165+Diciembre!D165</f>
        <v>0</v>
      </c>
      <c r="E165" s="33">
        <f t="shared" si="19"/>
        <v>0</v>
      </c>
      <c r="F165" s="34"/>
    </row>
    <row r="166" ht="15.75" customHeight="1">
      <c r="B166" s="9" t="str">
        <f>Categorias!B164</f>
        <v>-</v>
      </c>
      <c r="C166" s="33">
        <f>Enero!C166+Febrero!C166+Marzo!C166+Abril!C166+Mayo!C166+Junio!C166+Julio!C166+Agosto!C166+Septiembre!C166+Octubre!C166+Noviembre!C166+Diciembre!C166</f>
        <v>0</v>
      </c>
      <c r="D166" s="33">
        <f>Enero!D166+Febrero!D166+Marzo!D166+Abril!D166+Mayo!D166+Junio!D166+Julio!D166+Agosto!D166+Septiembre!D166+Octubre!D166+Noviembre!D166+Diciembre!D166</f>
        <v>0</v>
      </c>
      <c r="E166" s="33">
        <f t="shared" si="19"/>
        <v>0</v>
      </c>
      <c r="F166" s="34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7.25" customHeight="1">
      <c r="A169" s="45"/>
      <c r="B169" s="46" t="s">
        <v>84</v>
      </c>
      <c r="C169" s="47">
        <f t="shared" ref="C169:E169" si="20">C28+C37+C45+C58+C68+C77+C88+C97+C107+C115+C126+C136+C146+C158</f>
        <v>322192.45</v>
      </c>
      <c r="D169" s="47">
        <f t="shared" si="20"/>
        <v>304907.15</v>
      </c>
      <c r="E169" s="47">
        <f t="shared" si="20"/>
        <v>17285.3</v>
      </c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467281.6</v>
      </c>
      <c r="F177" s="57"/>
      <c r="G177" s="57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3"/>
      <c r="C178" s="58" t="s">
        <v>85</v>
      </c>
      <c r="E178" s="52">
        <f>C26</f>
        <v>322192.45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3"/>
      <c r="C179" s="58"/>
      <c r="D179" s="58"/>
      <c r="E179" s="52"/>
      <c r="F179" s="52"/>
      <c r="G179" s="52" t="s">
        <v>90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8.75" customHeight="1">
      <c r="A180" s="52"/>
      <c r="B180" s="53"/>
      <c r="C180" s="59" t="s">
        <v>91</v>
      </c>
      <c r="D180" s="2"/>
      <c r="E180" s="60">
        <f>E177-E178</f>
        <v>145089.15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324561.2</v>
      </c>
      <c r="F184" s="57"/>
      <c r="G184" s="57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3"/>
      <c r="C185" s="58" t="s">
        <v>87</v>
      </c>
      <c r="E185" s="52">
        <f>D26</f>
        <v>304907.15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B186" s="12"/>
    </row>
    <row r="187" ht="18.75" customHeight="1">
      <c r="B187" s="12"/>
      <c r="C187" s="62" t="s">
        <v>91</v>
      </c>
      <c r="D187" s="2"/>
      <c r="E187" s="63">
        <f>E184-E185</f>
        <v>19654.05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44168.02</v>
      </c>
    </row>
    <row r="192" ht="19.5" customHeight="1">
      <c r="B192" s="12"/>
      <c r="C192" s="64"/>
      <c r="D192" s="65" t="str">
        <f>B37</f>
        <v>SALUD</v>
      </c>
      <c r="E192" s="66">
        <f>D37</f>
        <v>15428.4</v>
      </c>
    </row>
    <row r="193" ht="19.5" customHeight="1">
      <c r="B193" s="12"/>
      <c r="C193" s="64"/>
      <c r="D193" s="65" t="str">
        <f>B45</f>
        <v>CASA</v>
      </c>
      <c r="E193" s="66">
        <f>D45</f>
        <v>106460</v>
      </c>
    </row>
    <row r="194" ht="19.5" customHeight="1">
      <c r="B194" s="12"/>
      <c r="C194" s="64"/>
      <c r="D194" s="65" t="str">
        <f>B58</f>
        <v>ROPA Y CALZADO</v>
      </c>
      <c r="E194" s="66">
        <f>D58</f>
        <v>12134</v>
      </c>
    </row>
    <row r="195" ht="19.5" customHeight="1">
      <c r="B195" s="12"/>
      <c r="C195" s="64"/>
      <c r="D195" s="65" t="str">
        <f>B68</f>
        <v>COMUNICACIÓN</v>
      </c>
      <c r="E195" s="66">
        <f>D68</f>
        <v>9897</v>
      </c>
    </row>
    <row r="196" ht="19.5" customHeight="1">
      <c r="B196" s="12"/>
      <c r="C196" s="64"/>
      <c r="D196" s="65" t="str">
        <f>B77</f>
        <v>TRANSPORTE</v>
      </c>
      <c r="E196" s="66">
        <f>D77</f>
        <v>32463.21</v>
      </c>
    </row>
    <row r="197" ht="19.5" customHeight="1">
      <c r="B197" s="12"/>
      <c r="C197" s="64"/>
      <c r="D197" s="65" t="str">
        <f>B88</f>
        <v>HIGIENE</v>
      </c>
      <c r="E197" s="66">
        <f>D88</f>
        <v>4911.5</v>
      </c>
    </row>
    <row r="198" ht="19.5" customHeight="1">
      <c r="B198" s="12"/>
      <c r="C198" s="64"/>
      <c r="D198" s="65" t="str">
        <f>B97</f>
        <v>NIÑOS</v>
      </c>
      <c r="E198" s="66">
        <f>D97</f>
        <v>6531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3902</v>
      </c>
    </row>
    <row r="200" ht="19.5" customHeight="1">
      <c r="B200" s="12"/>
      <c r="C200" s="64"/>
      <c r="D200" s="65" t="str">
        <f>B115</f>
        <v>DIVERSIÓN</v>
      </c>
      <c r="E200" s="66">
        <f>D115</f>
        <v>7588</v>
      </c>
    </row>
    <row r="201" ht="19.5" customHeight="1">
      <c r="B201" s="12"/>
      <c r="C201" s="64"/>
      <c r="D201" s="65" t="str">
        <f>B126</f>
        <v>DEUDAS</v>
      </c>
      <c r="E201" s="66">
        <f>D126</f>
        <v>30660.02</v>
      </c>
    </row>
    <row r="202" ht="19.5" customHeight="1">
      <c r="B202" s="12"/>
      <c r="C202" s="64"/>
      <c r="D202" s="65" t="str">
        <f>B136</f>
        <v>OTROS GASTOS</v>
      </c>
      <c r="E202" s="66">
        <f>D136</f>
        <v>11512</v>
      </c>
    </row>
    <row r="203" ht="19.5" customHeight="1">
      <c r="B203" s="12"/>
      <c r="D203" s="65" t="str">
        <f>B146</f>
        <v>AHORROS</v>
      </c>
      <c r="E203" s="66">
        <f>D146</f>
        <v>2100</v>
      </c>
    </row>
    <row r="204" ht="19.5" customHeight="1">
      <c r="B204" s="12"/>
      <c r="D204" s="65" t="str">
        <f>B158</f>
        <v>OTROS</v>
      </c>
      <c r="E204" s="66">
        <f>D158</f>
        <v>17152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F25:F26"/>
    <mergeCell ref="C174:F174"/>
    <mergeCell ref="C177:D17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57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45292.0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53400</v>
      </c>
      <c r="D9" s="29">
        <f t="shared" si="1"/>
        <v>26400</v>
      </c>
      <c r="E9" s="29">
        <f t="shared" si="1"/>
        <v>-27000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53400</v>
      </c>
      <c r="D11" s="31">
        <f t="shared" si="2"/>
        <v>26400</v>
      </c>
      <c r="E11" s="31">
        <f t="shared" si="2"/>
        <v>-27000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69">
        <v>50000.0</v>
      </c>
      <c r="D12" s="70">
        <f>SUM(Enero!$H12:$AL12)</f>
        <v>23000</v>
      </c>
      <c r="E12" s="33">
        <f t="shared" ref="E12:E20" si="3">D12-C12</f>
        <v>-27000</v>
      </c>
      <c r="F12" s="34"/>
      <c r="H12" s="71">
        <v>23000.0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69">
        <v>0.0</v>
      </c>
      <c r="D13" s="70">
        <f>SUM(Enero!$H13:$AL13)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69">
        <v>0.0</v>
      </c>
      <c r="D14" s="70">
        <f>SUM(Enero!$H14:$AL14)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69">
        <v>3400.0</v>
      </c>
      <c r="D15" s="70">
        <f>SUM(Enero!$H15:$AL15)</f>
        <v>3400</v>
      </c>
      <c r="E15" s="33">
        <f t="shared" si="3"/>
        <v>0</v>
      </c>
      <c r="F15" s="34"/>
      <c r="H15" s="71">
        <v>3400.0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69">
        <v>0.0</v>
      </c>
      <c r="D16" s="70">
        <f>SUM(Enero!$H16:$AL16)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SUM(Enero!$H17:$AL17)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SUM(Enero!$H18:$AL18)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SUM(Enero!$H19:$AL19)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SUM(Enero!$H20:$AL20)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126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59100</v>
      </c>
      <c r="D26" s="38">
        <f t="shared" si="4"/>
        <v>48977.83</v>
      </c>
      <c r="E26" s="38">
        <f t="shared" si="4"/>
        <v>10122.17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5000</v>
      </c>
      <c r="D28" s="31">
        <f t="shared" si="5"/>
        <v>9325</v>
      </c>
      <c r="E28" s="31">
        <f t="shared" si="5"/>
        <v>-4325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69">
        <v>0.0</v>
      </c>
      <c r="D29" s="33">
        <f>SUM(Enero!$H29:$AL29)</f>
        <v>7710</v>
      </c>
      <c r="E29" s="33">
        <f t="shared" ref="E29:E35" si="6">C29-D29</f>
        <v>-7710</v>
      </c>
      <c r="F29" s="34"/>
      <c r="H29" s="72"/>
      <c r="I29" s="72"/>
      <c r="J29" s="71">
        <v>460.0</v>
      </c>
      <c r="K29" s="72"/>
      <c r="L29" s="71">
        <v>980.0</v>
      </c>
      <c r="M29" s="71">
        <v>430.0</v>
      </c>
      <c r="N29" s="72"/>
      <c r="O29" s="71">
        <v>70.0</v>
      </c>
      <c r="P29" s="71">
        <v>750.0</v>
      </c>
      <c r="Q29" s="71">
        <v>1300.0</v>
      </c>
      <c r="R29" s="71">
        <v>320.0</v>
      </c>
      <c r="S29" s="72"/>
      <c r="T29" s="72"/>
      <c r="U29" s="71">
        <v>423.0</v>
      </c>
      <c r="V29" s="71">
        <v>180.0</v>
      </c>
      <c r="W29" s="71">
        <v>370.0</v>
      </c>
      <c r="X29" s="71">
        <v>235.0</v>
      </c>
      <c r="Y29" s="71">
        <v>176.0</v>
      </c>
      <c r="Z29" s="71">
        <v>882.0</v>
      </c>
      <c r="AA29" s="71">
        <v>136.0</v>
      </c>
      <c r="AB29" s="71">
        <v>219.0</v>
      </c>
      <c r="AC29" s="71">
        <v>505.0</v>
      </c>
      <c r="AD29" s="71">
        <v>204.0</v>
      </c>
      <c r="AE29" s="71">
        <v>70.0</v>
      </c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69">
        <v>5000.0</v>
      </c>
      <c r="D30" s="33">
        <f>SUM(Enero!$H30:$AL30)</f>
        <v>1615</v>
      </c>
      <c r="E30" s="33">
        <f t="shared" si="6"/>
        <v>3385</v>
      </c>
      <c r="F30" s="3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1">
        <v>432.0</v>
      </c>
      <c r="X30" s="71">
        <v>297.0</v>
      </c>
      <c r="Y30" s="71">
        <v>164.0</v>
      </c>
      <c r="Z30" s="72"/>
      <c r="AA30" s="71">
        <v>90.0</v>
      </c>
      <c r="AB30" s="71">
        <v>80.0</v>
      </c>
      <c r="AC30" s="72"/>
      <c r="AD30" s="72"/>
      <c r="AE30" s="71">
        <v>552.0</v>
      </c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SUM(Enero!$H31:$AL31)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SUM(Enero!$H32:$AL32)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69">
        <v>0.0</v>
      </c>
      <c r="D33" s="33">
        <f>SUM(Enero!$H33:$AL33)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SUM(Enero!$H34:$AL34)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SUM(Enero!$H35:$AL35)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1000</v>
      </c>
      <c r="D37" s="31">
        <f t="shared" si="7"/>
        <v>1229</v>
      </c>
      <c r="E37" s="31">
        <f t="shared" si="7"/>
        <v>-229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SUM(Enero!$H38:$AL38)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69">
        <v>1000.0</v>
      </c>
      <c r="D39" s="33">
        <f>SUM(Enero!$H39:$AL39)</f>
        <v>1229</v>
      </c>
      <c r="E39" s="33">
        <f t="shared" si="8"/>
        <v>-229</v>
      </c>
      <c r="F39" s="34"/>
      <c r="H39" s="72"/>
      <c r="I39" s="72"/>
      <c r="J39" s="71">
        <v>300.0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1">
        <v>929.0</v>
      </c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SUM(Enero!$H40:$AL40)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SUM(Enero!$H41:$AL41)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SUM(Enero!$H42:$AL42)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SUM(Enero!$H43:$AL43)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29700</v>
      </c>
      <c r="D45" s="31">
        <f t="shared" si="9"/>
        <v>23585</v>
      </c>
      <c r="E45" s="31">
        <f t="shared" si="9"/>
        <v>6115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SUM(Enero!$H46:$AL46)</f>
        <v>345</v>
      </c>
      <c r="E46" s="33">
        <f t="shared" ref="E46:E56" si="10">C46-D46</f>
        <v>-345</v>
      </c>
      <c r="F46" s="34"/>
      <c r="H46" s="72"/>
      <c r="I46" s="72"/>
      <c r="J46" s="72"/>
      <c r="K46" s="72"/>
      <c r="L46" s="72"/>
      <c r="M46" s="72"/>
      <c r="N46" s="72"/>
      <c r="O46" s="71">
        <v>345.0</v>
      </c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69">
        <v>2500.0</v>
      </c>
      <c r="D47" s="33">
        <f>SUM(Enero!$H47:$AL47)</f>
        <v>0</v>
      </c>
      <c r="E47" s="33">
        <f t="shared" si="10"/>
        <v>2500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69">
        <v>200.0</v>
      </c>
      <c r="D48" s="33">
        <f>SUM(Enero!$H48:$AL48)</f>
        <v>0</v>
      </c>
      <c r="E48" s="33">
        <f t="shared" si="10"/>
        <v>200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69">
        <v>12400.0</v>
      </c>
      <c r="D49" s="33">
        <f>SUM(Enero!$H49:$AL49)</f>
        <v>7900</v>
      </c>
      <c r="E49" s="33">
        <f t="shared" si="10"/>
        <v>4500</v>
      </c>
      <c r="F49" s="34"/>
      <c r="H49" s="71">
        <v>4500.0</v>
      </c>
      <c r="I49" s="71">
        <v>3400.0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SUM(Enero!$H50:$AL50)</f>
        <v>1340</v>
      </c>
      <c r="E50" s="33">
        <f t="shared" si="10"/>
        <v>-1340</v>
      </c>
      <c r="F50" s="34"/>
      <c r="H50" s="72"/>
      <c r="I50" s="72"/>
      <c r="J50" s="72"/>
      <c r="K50" s="72"/>
      <c r="L50" s="71">
        <v>350.0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1">
        <v>370.0</v>
      </c>
      <c r="Y50" s="72"/>
      <c r="Z50" s="72"/>
      <c r="AA50" s="71">
        <v>300.0</v>
      </c>
      <c r="AB50" s="72"/>
      <c r="AC50" s="72"/>
      <c r="AD50" s="71">
        <v>320.0</v>
      </c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600.0</v>
      </c>
      <c r="D51" s="33">
        <f>SUM(Enero!$H51:$AL51)</f>
        <v>0</v>
      </c>
      <c r="E51" s="33">
        <f t="shared" si="10"/>
        <v>600</v>
      </c>
      <c r="F51" s="3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69">
        <v>14000.0</v>
      </c>
      <c r="D52" s="33">
        <f>SUM(Enero!$H52:$AL52)</f>
        <v>14000</v>
      </c>
      <c r="E52" s="33">
        <f t="shared" si="10"/>
        <v>0</v>
      </c>
      <c r="F52" s="3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1">
        <v>14000.0</v>
      </c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69">
        <v>0.0</v>
      </c>
      <c r="D53" s="33">
        <f>SUM(Enero!$H53:$AL53)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SUM(Enero!$H54:$AL54)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SUM(Enero!$H55:$AL55)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SUM(Enero!$H56:$AL56)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1930</v>
      </c>
      <c r="E58" s="31">
        <f t="shared" si="11"/>
        <v>-1930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SUM(Enero!$H59:$AL59)</f>
        <v>1930</v>
      </c>
      <c r="E59" s="33">
        <f t="shared" ref="E59:E66" si="12">C59-D59</f>
        <v>-1930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1">
        <v>1930.0</v>
      </c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SUM(Enero!$H60:$AL60)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SUM(Enero!$H61:$AL61)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SUM(Enero!$H62:$AL62)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SUM(Enero!$H63:$AL63)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SUM(Enero!$H64:$AL64)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SUM(Enero!$H65:$AL65)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SUM(Enero!$H66:$AL66)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1300</v>
      </c>
      <c r="D68" s="31">
        <f t="shared" si="13"/>
        <v>0</v>
      </c>
      <c r="E68" s="31">
        <f t="shared" si="13"/>
        <v>1300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SUM(Enero!$H69:$AL69)</f>
        <v>0</v>
      </c>
      <c r="E69" s="33">
        <f t="shared" ref="E69:E75" si="14">C69-D69</f>
        <v>300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69">
        <v>700.0</v>
      </c>
      <c r="D70" s="33">
        <f>SUM(Enero!$H70:$AL70)</f>
        <v>0</v>
      </c>
      <c r="E70" s="33">
        <f t="shared" si="14"/>
        <v>700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300.0</v>
      </c>
      <c r="D71" s="33">
        <f>SUM(Enero!$H71:$AL71)</f>
        <v>0</v>
      </c>
      <c r="E71" s="33">
        <f t="shared" si="14"/>
        <v>300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69">
        <v>0.0</v>
      </c>
      <c r="D72" s="33">
        <f>SUM(Enero!$H72:$AL72)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69">
        <v>0.0</v>
      </c>
      <c r="D73" s="33">
        <f>SUM(Enero!$H73:$AL73)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SUM(Enero!$H74:$AL74)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SUM(Enero!$H75:$AL75)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4700</v>
      </c>
      <c r="D77" s="31">
        <f t="shared" si="15"/>
        <v>7578.83</v>
      </c>
      <c r="E77" s="31">
        <f t="shared" si="15"/>
        <v>-2878.83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SUM(Enero!$H78:$AL78)</f>
        <v>3277.83</v>
      </c>
      <c r="E78" s="33">
        <f t="shared" ref="E78:E86" si="16">C78-D78</f>
        <v>-1277.83</v>
      </c>
      <c r="F78" s="34"/>
      <c r="H78" s="72"/>
      <c r="I78" s="72"/>
      <c r="J78" s="71">
        <v>1151.83</v>
      </c>
      <c r="K78" s="72"/>
      <c r="L78" s="72"/>
      <c r="M78" s="71">
        <v>500.0</v>
      </c>
      <c r="N78" s="72"/>
      <c r="O78" s="72"/>
      <c r="P78" s="71">
        <v>716.0</v>
      </c>
      <c r="Q78" s="72"/>
      <c r="R78" s="72"/>
      <c r="S78" s="72"/>
      <c r="T78" s="72"/>
      <c r="U78" s="71">
        <v>910.0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69">
        <v>700.0</v>
      </c>
      <c r="D79" s="33">
        <f>SUM(Enero!$H79:$AL79)</f>
        <v>0</v>
      </c>
      <c r="E79" s="33">
        <f t="shared" si="16"/>
        <v>700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0.0</v>
      </c>
      <c r="D80" s="33">
        <f>SUM(Enero!$H80:$AL80)</f>
        <v>0</v>
      </c>
      <c r="E80" s="33">
        <f t="shared" si="16"/>
        <v>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69">
        <v>1200.0</v>
      </c>
      <c r="D81" s="33">
        <f>SUM(Enero!$H81:$AL81)</f>
        <v>0</v>
      </c>
      <c r="E81" s="33">
        <f t="shared" si="16"/>
        <v>1200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800.0</v>
      </c>
      <c r="D82" s="33">
        <f>SUM(Enero!$H82:$AL82)</f>
        <v>303</v>
      </c>
      <c r="E82" s="33">
        <f t="shared" si="16"/>
        <v>497</v>
      </c>
      <c r="F82" s="34"/>
      <c r="H82" s="72"/>
      <c r="I82" s="72"/>
      <c r="J82" s="72"/>
      <c r="K82" s="72"/>
      <c r="L82" s="72"/>
      <c r="M82" s="72"/>
      <c r="N82" s="72"/>
      <c r="O82" s="71">
        <v>101.0</v>
      </c>
      <c r="P82" s="71">
        <v>202.0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SUM(Enero!$H83:$AL83)</f>
        <v>3630</v>
      </c>
      <c r="E83" s="33">
        <f t="shared" si="16"/>
        <v>-3630</v>
      </c>
      <c r="F83" s="34"/>
      <c r="H83" s="72"/>
      <c r="I83" s="72"/>
      <c r="J83" s="72"/>
      <c r="K83" s="72"/>
      <c r="L83" s="72"/>
      <c r="M83" s="72"/>
      <c r="N83" s="72"/>
      <c r="O83" s="71">
        <v>320.0</v>
      </c>
      <c r="P83" s="71">
        <v>3310.0</v>
      </c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SUM(Enero!$H84:$AL84)</f>
        <v>368</v>
      </c>
      <c r="E84" s="33">
        <f t="shared" si="16"/>
        <v>-368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1">
        <v>288.0</v>
      </c>
      <c r="W84" s="72"/>
      <c r="X84" s="72"/>
      <c r="Y84" s="71">
        <v>80.0</v>
      </c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SUM(Enero!$H85:$AL85)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SUM(Enero!$H86:$AL86)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400</v>
      </c>
      <c r="D88" s="31">
        <f t="shared" si="17"/>
        <v>1490</v>
      </c>
      <c r="E88" s="31">
        <f t="shared" si="17"/>
        <v>-1090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SUM(Enero!$H89:$AL89)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200.0</v>
      </c>
      <c r="D90" s="33">
        <f>SUM(Enero!$H90:$AL90)</f>
        <v>0</v>
      </c>
      <c r="E90" s="33">
        <f t="shared" si="18"/>
        <v>200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SUM(Enero!$H91:$AL91)</f>
        <v>150</v>
      </c>
      <c r="E91" s="33">
        <f t="shared" si="18"/>
        <v>-150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1">
        <v>150.0</v>
      </c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200.0</v>
      </c>
      <c r="D92" s="33">
        <f>SUM(Enero!$H92:$AL92)</f>
        <v>1340</v>
      </c>
      <c r="E92" s="33">
        <f t="shared" si="18"/>
        <v>-1140</v>
      </c>
      <c r="F92" s="34"/>
      <c r="H92" s="72"/>
      <c r="I92" s="72"/>
      <c r="J92" s="72"/>
      <c r="K92" s="72"/>
      <c r="L92" s="71">
        <v>140.0</v>
      </c>
      <c r="M92" s="72"/>
      <c r="N92" s="72"/>
      <c r="O92" s="72"/>
      <c r="P92" s="72"/>
      <c r="Q92" s="71">
        <v>590.0</v>
      </c>
      <c r="R92" s="72"/>
      <c r="S92" s="72"/>
      <c r="T92" s="72"/>
      <c r="U92" s="72"/>
      <c r="V92" s="72"/>
      <c r="W92" s="72"/>
      <c r="X92" s="71">
        <v>494.0</v>
      </c>
      <c r="Y92" s="71">
        <v>16.0</v>
      </c>
      <c r="Z92" s="72"/>
      <c r="AA92" s="71">
        <v>100.0</v>
      </c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SUM(Enero!$H93:$AL93)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SUM(Enero!$H94:$AL94)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SUM(Enero!$H95:$AL95)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3600</v>
      </c>
      <c r="D97" s="31">
        <f t="shared" si="19"/>
        <v>0</v>
      </c>
      <c r="E97" s="31">
        <f t="shared" si="19"/>
        <v>3600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69">
        <v>2000.0</v>
      </c>
      <c r="D98" s="33">
        <f>SUM(Enero!$H98:$AL98)</f>
        <v>0</v>
      </c>
      <c r="E98" s="33">
        <f t="shared" ref="E98:E105" si="20">C98-D98</f>
        <v>2000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1600.0</v>
      </c>
      <c r="D99" s="33">
        <f>SUM(Enero!$H99:$AL99)</f>
        <v>0</v>
      </c>
      <c r="E99" s="33">
        <f t="shared" si="20"/>
        <v>1600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SUM(Enero!$H100:$AL100)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SUM(Enero!$H101:$AL101)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SUM(Enero!$H102:$AL102)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SUM(Enero!$H103:$AL103)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SUM(Enero!$H104:$AL104)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SUM(Enero!$H105:$AL105)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3950</v>
      </c>
      <c r="D107" s="31">
        <f t="shared" si="21"/>
        <v>3190</v>
      </c>
      <c r="E107" s="31">
        <f t="shared" si="21"/>
        <v>760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SUM(Enero!$H108:$AL108)</f>
        <v>190</v>
      </c>
      <c r="E108" s="33">
        <f t="shared" ref="E108:E113" si="22">C108-D108</f>
        <v>-190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1">
        <v>190.0</v>
      </c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SUM(Enero!$H109:$AL109)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SUM(Enero!$H110:$AL110)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69">
        <v>1500.0</v>
      </c>
      <c r="D111" s="33">
        <f>SUM(Enero!$H111:$AL111)</f>
        <v>0</v>
      </c>
      <c r="E111" s="33">
        <f t="shared" si="22"/>
        <v>1500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69">
        <v>450.0</v>
      </c>
      <c r="D112" s="33">
        <f>SUM(Enero!$H112:$AL112)</f>
        <v>0</v>
      </c>
      <c r="E112" s="33">
        <f t="shared" si="22"/>
        <v>450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10" t="s">
        <v>129</v>
      </c>
      <c r="C113" s="69">
        <v>2000.0</v>
      </c>
      <c r="D113" s="33">
        <f>SUM(Enero!$H113:$AL113)</f>
        <v>3000</v>
      </c>
      <c r="E113" s="33">
        <f t="shared" si="22"/>
        <v>-1000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1">
        <v>3000.0</v>
      </c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750</v>
      </c>
      <c r="D115" s="31">
        <f t="shared" si="23"/>
        <v>255</v>
      </c>
      <c r="E115" s="31">
        <f t="shared" si="23"/>
        <v>495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SUM(Enero!$H116:$AL116)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69">
        <v>600.0</v>
      </c>
      <c r="D117" s="33">
        <f>SUM(Enero!$H117:$AL117)</f>
        <v>105</v>
      </c>
      <c r="E117" s="33">
        <f t="shared" si="24"/>
        <v>495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1">
        <v>105.0</v>
      </c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10" t="s">
        <v>130</v>
      </c>
      <c r="C118" s="69">
        <v>150.0</v>
      </c>
      <c r="D118" s="33">
        <f>SUM(Enero!$H118:$AL118)</f>
        <v>150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1">
        <v>150.0</v>
      </c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SUM(Enero!$H119:$AL119)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SUM(Enero!$H120:$AL120)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SUM(Enero!$H121:$AL121)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SUM(Enero!$H122:$AL122)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SUM(Enero!$H123:$AL123)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SUM(Enero!$H124:$AL124)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3300</v>
      </c>
      <c r="D126" s="31">
        <f t="shared" si="25"/>
        <v>0</v>
      </c>
      <c r="E126" s="31">
        <f t="shared" si="25"/>
        <v>3300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69">
        <v>2300.0</v>
      </c>
      <c r="D127" s="33">
        <f>SUM(Enero!$H127:$AL127)</f>
        <v>0</v>
      </c>
      <c r="E127" s="33">
        <f t="shared" ref="E127:E134" si="26">C127-D127</f>
        <v>2300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69">
        <v>1000.0</v>
      </c>
      <c r="D128" s="33">
        <f>SUM(Enero!$H128:$AL128)</f>
        <v>0</v>
      </c>
      <c r="E128" s="33">
        <f t="shared" si="26"/>
        <v>1000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69">
        <v>0.0</v>
      </c>
      <c r="D129" s="33">
        <f>SUM(Enero!$H129:$AL129)</f>
        <v>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SUM(Enero!$H130:$AL130)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SUM(Enero!$H131:$AL131)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SUM(Enero!$H132:$AL132)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SUM(Enero!$H133:$AL133)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SUM(Enero!$H134:$AL134)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0</v>
      </c>
      <c r="D136" s="31">
        <f t="shared" si="27"/>
        <v>0</v>
      </c>
      <c r="E136" s="31">
        <f t="shared" si="27"/>
        <v>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SUM(Enero!$H137:$AL137)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SUM(Enero!$H138:$AL138)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SUM(Enero!$H139:$AL139)</f>
        <v>0</v>
      </c>
      <c r="E139" s="33">
        <f t="shared" si="28"/>
        <v>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0.0</v>
      </c>
      <c r="D140" s="33">
        <f>SUM(Enero!$H140:$AL140)</f>
        <v>0</v>
      </c>
      <c r="E140" s="33">
        <f t="shared" si="28"/>
        <v>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SUM(Enero!$H141:$AL141)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SUM(Enero!$H142:$AL142)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SUM(Enero!$H143:$AL143)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SUM(Enero!$H144:$AL144)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5000</v>
      </c>
      <c r="D146" s="31">
        <f t="shared" si="29"/>
        <v>0</v>
      </c>
      <c r="E146" s="31">
        <f t="shared" si="29"/>
        <v>5000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69">
        <v>5000.0</v>
      </c>
      <c r="D147" s="33">
        <f>SUM(Enero!$H147:$AL147)</f>
        <v>0</v>
      </c>
      <c r="E147" s="33">
        <f t="shared" ref="E147:E156" si="30">C147-D147</f>
        <v>5000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SUM(Enero!$H148:$AL148)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SUM(Enero!$H149:$AL149)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SUM(Enero!$H150:$AL150)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SUM(Enero!$H151:$AL151)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SUM(Enero!$H152:$AL152)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SUM(Enero!$H153:$AL153)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SUM(Enero!$H154:$AL154)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SUM(Enero!$H155:$AL155)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SUM(Enero!$H156:$AL156)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400</v>
      </c>
      <c r="D158" s="31">
        <f t="shared" si="31"/>
        <v>395</v>
      </c>
      <c r="E158" s="31">
        <f t="shared" si="31"/>
        <v>5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10" t="s">
        <v>131</v>
      </c>
      <c r="C159" s="69">
        <v>400.0</v>
      </c>
      <c r="D159" s="33">
        <f>SUM(Enero!$H159:$AL159)</f>
        <v>395</v>
      </c>
      <c r="E159" s="33">
        <f t="shared" ref="E159:E166" si="32">C159-D159</f>
        <v>5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1">
        <v>395.0</v>
      </c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SUM(Enero!$H160:$AL160)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SUM(Enero!$H161:$AL161)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SUM(Enero!$H162:$AL162)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SUM(Enero!$H163:$AL163)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SUM(Enero!$H164:$AL164)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SUM(Enero!$H165:$AL165)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SUM(Enero!$H166:$AL166)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59100</v>
      </c>
      <c r="D169" s="47">
        <f t="shared" si="33"/>
        <v>48977.83</v>
      </c>
      <c r="E169" s="47">
        <f t="shared" si="33"/>
        <v>10122.17</v>
      </c>
      <c r="F169" s="45"/>
      <c r="G169" s="45"/>
      <c r="H169" s="76">
        <f t="shared" ref="H169:AL169" si="34">SUM(H28:H156)</f>
        <v>4500</v>
      </c>
      <c r="I169" s="76">
        <f t="shared" si="34"/>
        <v>3400</v>
      </c>
      <c r="J169" s="76">
        <f t="shared" si="34"/>
        <v>1911.83</v>
      </c>
      <c r="K169" s="76">
        <f t="shared" si="34"/>
        <v>0</v>
      </c>
      <c r="L169" s="76">
        <f t="shared" si="34"/>
        <v>1470</v>
      </c>
      <c r="M169" s="76">
        <f t="shared" si="34"/>
        <v>930</v>
      </c>
      <c r="N169" s="76">
        <f t="shared" si="34"/>
        <v>0</v>
      </c>
      <c r="O169" s="76">
        <f t="shared" si="34"/>
        <v>836</v>
      </c>
      <c r="P169" s="76">
        <f t="shared" si="34"/>
        <v>4978</v>
      </c>
      <c r="Q169" s="76">
        <f t="shared" si="34"/>
        <v>1890</v>
      </c>
      <c r="R169" s="76">
        <f t="shared" si="34"/>
        <v>320</v>
      </c>
      <c r="S169" s="76">
        <f t="shared" si="34"/>
        <v>0</v>
      </c>
      <c r="T169" s="76">
        <f t="shared" si="34"/>
        <v>0</v>
      </c>
      <c r="U169" s="76">
        <f t="shared" si="34"/>
        <v>1333</v>
      </c>
      <c r="V169" s="76">
        <f t="shared" si="34"/>
        <v>14468</v>
      </c>
      <c r="W169" s="76">
        <f t="shared" si="34"/>
        <v>802</v>
      </c>
      <c r="X169" s="76">
        <f t="shared" si="34"/>
        <v>1546</v>
      </c>
      <c r="Y169" s="76">
        <f t="shared" si="34"/>
        <v>2471</v>
      </c>
      <c r="Z169" s="76">
        <f t="shared" si="34"/>
        <v>882</v>
      </c>
      <c r="AA169" s="76">
        <f t="shared" si="34"/>
        <v>4705</v>
      </c>
      <c r="AB169" s="76">
        <f t="shared" si="34"/>
        <v>299</v>
      </c>
      <c r="AC169" s="76">
        <f t="shared" si="34"/>
        <v>505</v>
      </c>
      <c r="AD169" s="76">
        <f t="shared" si="34"/>
        <v>524</v>
      </c>
      <c r="AE169" s="76">
        <f t="shared" si="34"/>
        <v>812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53400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59100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-5700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26400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48977.83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-22577.83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9325</v>
      </c>
    </row>
    <row r="192" ht="19.5" customHeight="1">
      <c r="B192" s="12"/>
      <c r="C192" s="64"/>
      <c r="D192" s="65" t="str">
        <f>B37</f>
        <v>SALUD</v>
      </c>
      <c r="E192" s="66">
        <f>D37</f>
        <v>1229</v>
      </c>
    </row>
    <row r="193" ht="19.5" customHeight="1">
      <c r="B193" s="12"/>
      <c r="C193" s="64"/>
      <c r="D193" s="65" t="str">
        <f>B45</f>
        <v>CASA</v>
      </c>
      <c r="E193" s="66">
        <f>D45</f>
        <v>23585</v>
      </c>
    </row>
    <row r="194" ht="19.5" customHeight="1">
      <c r="B194" s="12"/>
      <c r="C194" s="64"/>
      <c r="D194" s="65" t="str">
        <f>B58</f>
        <v>ROPA Y CALZADO</v>
      </c>
      <c r="E194" s="66">
        <f>D58</f>
        <v>1930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7578.83</v>
      </c>
    </row>
    <row r="197" ht="19.5" customHeight="1">
      <c r="B197" s="12"/>
      <c r="C197" s="64"/>
      <c r="D197" s="65" t="str">
        <f>B88</f>
        <v>HIGIENE</v>
      </c>
      <c r="E197" s="66">
        <f>D88</f>
        <v>1490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3190</v>
      </c>
    </row>
    <row r="200" ht="19.5" customHeight="1">
      <c r="B200" s="12"/>
      <c r="C200" s="64"/>
      <c r="D200" s="65" t="str">
        <f>B115</f>
        <v>DIVERSIÓN</v>
      </c>
      <c r="E200" s="66">
        <f>D115</f>
        <v>255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395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44958.0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44000</v>
      </c>
      <c r="D9" s="29">
        <f t="shared" si="1"/>
        <v>0</v>
      </c>
      <c r="E9" s="29">
        <f t="shared" si="1"/>
        <v>-44000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44000</v>
      </c>
      <c r="D11" s="31">
        <f t="shared" si="2"/>
        <v>0</v>
      </c>
      <c r="E11" s="31">
        <f t="shared" si="2"/>
        <v>-44000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44000.0</v>
      </c>
      <c r="D12" s="70">
        <f>SUM(Febrero!$H12:$AL12)</f>
        <v>0</v>
      </c>
      <c r="E12" s="33">
        <f t="shared" ref="E12:E20" si="3">D12-C12</f>
        <v>-44000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73">
        <v>0.0</v>
      </c>
      <c r="D13" s="70">
        <f>SUM(Febrero!$H13:$AL13)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SUM(Febrero!$H14:$AL14)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SUM(Febrero!$H15:$AL15)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SUM(Febrero!$H16:$AL16)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SUM(Febrero!$H17:$AL17)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SUM(Febrero!$H18:$AL18)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SUM(Febrero!$H19:$AL19)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SUM(Febrero!$H20:$AL20)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29298</v>
      </c>
      <c r="D26" s="38">
        <f t="shared" si="4"/>
        <v>4741.72</v>
      </c>
      <c r="E26" s="38">
        <f t="shared" si="4"/>
        <v>24556.28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2000</v>
      </c>
      <c r="D28" s="31">
        <f t="shared" si="5"/>
        <v>1034</v>
      </c>
      <c r="E28" s="31">
        <f t="shared" si="5"/>
        <v>966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500.0</v>
      </c>
      <c r="D29" s="33">
        <f>SUM(Febrero!$H29:$AL29)</f>
        <v>374</v>
      </c>
      <c r="E29" s="33">
        <f t="shared" ref="E29:E35" si="6">C29-D29</f>
        <v>126</v>
      </c>
      <c r="F29" s="34"/>
      <c r="H29" s="72"/>
      <c r="I29" s="72"/>
      <c r="J29" s="72"/>
      <c r="K29" s="72"/>
      <c r="L29" s="72">
        <v>374.0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500.0</v>
      </c>
      <c r="D30" s="33">
        <f>SUM(Febrero!$H30:$AL30)</f>
        <v>370</v>
      </c>
      <c r="E30" s="33">
        <f t="shared" si="6"/>
        <v>130</v>
      </c>
      <c r="F30" s="3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>
        <v>40.0</v>
      </c>
      <c r="U30" s="72">
        <v>280.0</v>
      </c>
      <c r="V30" s="72">
        <v>50.0</v>
      </c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500.0</v>
      </c>
      <c r="D31" s="33">
        <f>SUM(Febrero!$H31:$AL31)</f>
        <v>0</v>
      </c>
      <c r="E31" s="33">
        <f t="shared" si="6"/>
        <v>500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500.0</v>
      </c>
      <c r="D32" s="33">
        <f>SUM(Febrero!$H32:$AL32)</f>
        <v>0</v>
      </c>
      <c r="E32" s="33">
        <f t="shared" si="6"/>
        <v>500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SUM(Febrero!$H33:$AL33)</f>
        <v>290</v>
      </c>
      <c r="E33" s="33">
        <f t="shared" si="6"/>
        <v>-290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>
        <v>150.0</v>
      </c>
      <c r="Y33" s="72">
        <v>100.0</v>
      </c>
      <c r="Z33" s="72">
        <v>40.0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SUM(Febrero!$H34:$AL34)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SUM(Febrero!$H35:$AL35)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6000</v>
      </c>
      <c r="D37" s="31">
        <f t="shared" si="7"/>
        <v>428.4</v>
      </c>
      <c r="E37" s="31">
        <f t="shared" si="7"/>
        <v>5571.6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5000.0</v>
      </c>
      <c r="D38" s="33">
        <f>SUM(Febrero!$H38:$AL38)</f>
        <v>0</v>
      </c>
      <c r="E38" s="33">
        <f t="shared" ref="E38:E43" si="8">C38-D38</f>
        <v>5000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1000.0</v>
      </c>
      <c r="D39" s="33">
        <f>SUM(Febrero!$H39:$AL39)</f>
        <v>428.4</v>
      </c>
      <c r="E39" s="33">
        <f t="shared" si="8"/>
        <v>571.6</v>
      </c>
      <c r="F39" s="34"/>
      <c r="H39" s="72"/>
      <c r="I39" s="72"/>
      <c r="J39" s="72"/>
      <c r="K39" s="72"/>
      <c r="L39" s="72">
        <v>428.4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SUM(Febrero!$H40:$AL40)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SUM(Febrero!$H41:$AL41)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SUM(Febrero!$H42:$AL42)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SUM(Febrero!$H43:$AL43)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2900</v>
      </c>
      <c r="D45" s="31">
        <f t="shared" si="9"/>
        <v>40</v>
      </c>
      <c r="E45" s="31">
        <f t="shared" si="9"/>
        <v>2860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500.0</v>
      </c>
      <c r="D46" s="33">
        <f>SUM(Febrero!$H46:$AL46)</f>
        <v>40</v>
      </c>
      <c r="E46" s="33">
        <f t="shared" ref="E46:E56" si="10">C46-D46</f>
        <v>460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>
        <v>40.0</v>
      </c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SUM(Febrero!$H47:$AL47)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200.0</v>
      </c>
      <c r="D48" s="33">
        <f>SUM(Febrero!$H48:$AL48)</f>
        <v>0</v>
      </c>
      <c r="E48" s="33">
        <f t="shared" si="10"/>
        <v>200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SUM(Febrero!$H49:$AL49)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SUM(Febrero!$H50:$AL50)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0.0</v>
      </c>
      <c r="D51" s="33">
        <f>SUM(Febrero!$H51:$AL51)</f>
        <v>0</v>
      </c>
      <c r="E51" s="33">
        <f t="shared" si="10"/>
        <v>0</v>
      </c>
      <c r="F51" s="3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2200.0</v>
      </c>
      <c r="D52" s="33">
        <f>SUM(Febrero!$H52:$AL52)</f>
        <v>0</v>
      </c>
      <c r="E52" s="33">
        <f t="shared" si="10"/>
        <v>2200</v>
      </c>
      <c r="F52" s="3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SUM(Febrero!$H53:$AL53)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SUM(Febrero!$H54:$AL54)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SUM(Febrero!$H55:$AL55)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SUM(Febrero!$H56:$AL56)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0</v>
      </c>
      <c r="E58" s="31">
        <f t="shared" si="11"/>
        <v>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SUM(Febrero!$H59:$AL59)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SUM(Febrero!$H60:$AL60)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SUM(Febrero!$H61:$AL61)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SUM(Febrero!$H62:$AL62)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SUM(Febrero!$H63:$AL63)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SUM(Febrero!$H64:$AL64)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SUM(Febrero!$H65:$AL65)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SUM(Febrero!$H66:$AL66)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1278</v>
      </c>
      <c r="D68" s="31">
        <f t="shared" si="13"/>
        <v>0</v>
      </c>
      <c r="E68" s="31">
        <f t="shared" si="13"/>
        <v>1278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SUM(Febrero!$H69:$AL69)</f>
        <v>0</v>
      </c>
      <c r="E69" s="33">
        <f t="shared" ref="E69:E75" si="14">C69-D69</f>
        <v>300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SUM(Febrero!$H70:$AL70)</f>
        <v>0</v>
      </c>
      <c r="E70" s="33">
        <f t="shared" si="14"/>
        <v>250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SUM(Febrero!$H71:$AL71)</f>
        <v>0</v>
      </c>
      <c r="E71" s="33">
        <f t="shared" si="14"/>
        <v>200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528.0</v>
      </c>
      <c r="D72" s="33">
        <f>SUM(Febrero!$H72:$AL72)</f>
        <v>0</v>
      </c>
      <c r="E72" s="33">
        <f t="shared" si="14"/>
        <v>528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SUM(Febrero!$H73:$AL73)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SUM(Febrero!$H74:$AL74)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SUM(Febrero!$H75:$AL75)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4000</v>
      </c>
      <c r="D77" s="31">
        <f t="shared" si="15"/>
        <v>2439.32</v>
      </c>
      <c r="E77" s="31">
        <f t="shared" si="15"/>
        <v>1560.68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SUM(Febrero!$H78:$AL78)</f>
        <v>1824.32</v>
      </c>
      <c r="E78" s="33">
        <f t="shared" ref="E78:E86" si="16">C78-D78</f>
        <v>175.68</v>
      </c>
      <c r="F78" s="34"/>
      <c r="H78" s="72"/>
      <c r="I78" s="72">
        <v>754.4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>
        <v>1069.92</v>
      </c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2000.0</v>
      </c>
      <c r="D79" s="33">
        <f>SUM(Febrero!$H79:$AL79)</f>
        <v>0</v>
      </c>
      <c r="E79" s="33">
        <f t="shared" si="16"/>
        <v>2000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0.0</v>
      </c>
      <c r="D80" s="33">
        <f>SUM(Febrero!$H80:$AL80)</f>
        <v>0</v>
      </c>
      <c r="E80" s="33">
        <f t="shared" si="16"/>
        <v>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SUM(Febrero!$H81:$AL81)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SUM(Febrero!$H82:$AL82)</f>
        <v>615</v>
      </c>
      <c r="E82" s="33">
        <f t="shared" si="16"/>
        <v>-615</v>
      </c>
      <c r="F82" s="34"/>
      <c r="H82" s="72"/>
      <c r="I82" s="72"/>
      <c r="J82" s="72">
        <v>123.0</v>
      </c>
      <c r="K82" s="72"/>
      <c r="L82" s="72"/>
      <c r="M82" s="72"/>
      <c r="N82" s="72">
        <v>123.0</v>
      </c>
      <c r="O82" s="72"/>
      <c r="P82" s="72"/>
      <c r="Q82" s="72">
        <v>123.0</v>
      </c>
      <c r="R82" s="72"/>
      <c r="S82" s="72"/>
      <c r="T82" s="72"/>
      <c r="U82" s="72">
        <v>123.0</v>
      </c>
      <c r="V82" s="72"/>
      <c r="W82" s="72"/>
      <c r="X82" s="72">
        <v>123.0</v>
      </c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SUM(Febrero!$H83:$AL83)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SUM(Febrero!$H84:$AL84)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SUM(Febrero!$H85:$AL85)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SUM(Febrero!$H86:$AL86)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300</v>
      </c>
      <c r="D88" s="31">
        <f t="shared" si="17"/>
        <v>0</v>
      </c>
      <c r="E88" s="31">
        <f t="shared" si="17"/>
        <v>300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SUM(Febrero!$H89:$AL89)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300.0</v>
      </c>
      <c r="D90" s="33">
        <f>SUM(Febrero!$H90:$AL90)</f>
        <v>0</v>
      </c>
      <c r="E90" s="33">
        <f t="shared" si="18"/>
        <v>300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SUM(Febrero!$H91:$AL91)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SUM(Febrero!$H92:$AL92)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SUM(Febrero!$H93:$AL93)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SUM(Febrero!$H94:$AL94)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SUM(Febrero!$H95:$AL95)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1600</v>
      </c>
      <c r="D97" s="31">
        <f t="shared" si="19"/>
        <v>800</v>
      </c>
      <c r="E97" s="31">
        <f t="shared" si="19"/>
        <v>800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SUM(Febrero!$H98:$AL98)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1600.0</v>
      </c>
      <c r="D99" s="33">
        <f>SUM(Febrero!$H99:$AL99)</f>
        <v>800</v>
      </c>
      <c r="E99" s="33">
        <f t="shared" si="20"/>
        <v>800</v>
      </c>
      <c r="F99" s="34"/>
      <c r="H99" s="72"/>
      <c r="I99" s="72"/>
      <c r="J99" s="72"/>
      <c r="K99" s="72"/>
      <c r="L99" s="72"/>
      <c r="M99" s="72"/>
      <c r="N99" s="72">
        <v>400.0</v>
      </c>
      <c r="O99" s="72"/>
      <c r="P99" s="72"/>
      <c r="Q99" s="72"/>
      <c r="R99" s="72"/>
      <c r="S99" s="72"/>
      <c r="T99" s="72"/>
      <c r="U99" s="72">
        <v>400.0</v>
      </c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SUM(Febrero!$H100:$AL100)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SUM(Febrero!$H101:$AL101)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SUM(Febrero!$H102:$AL102)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SUM(Febrero!$H103:$AL103)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SUM(Febrero!$H104:$AL104)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SUM(Febrero!$H105:$AL105)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SUM(Febrero!$H108:$AL108)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SUM(Febrero!$H109:$AL109)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SUM(Febrero!$H110:$AL110)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SUM(Febrero!$H111:$AL111)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SUM(Febrero!$H112:$AL112)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SUM(Febrero!$H113:$AL113)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500</v>
      </c>
      <c r="D115" s="31">
        <f t="shared" si="23"/>
        <v>0</v>
      </c>
      <c r="E115" s="31">
        <f t="shared" si="23"/>
        <v>500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SUM(Febrero!$H116:$AL116)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500.0</v>
      </c>
      <c r="D117" s="33">
        <f>SUM(Febrero!$H117:$AL117)</f>
        <v>0</v>
      </c>
      <c r="E117" s="33">
        <f t="shared" si="24"/>
        <v>500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SUM(Febrero!$H118:$AL118)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SUM(Febrero!$H119:$AL119)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SUM(Febrero!$H120:$AL120)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SUM(Febrero!$H121:$AL121)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SUM(Febrero!$H122:$AL122)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SUM(Febrero!$H123:$AL123)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SUM(Febrero!$H124:$AL124)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10720</v>
      </c>
      <c r="D126" s="31">
        <f t="shared" si="25"/>
        <v>0</v>
      </c>
      <c r="E126" s="31">
        <f t="shared" si="25"/>
        <v>10720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6520.0</v>
      </c>
      <c r="D127" s="33">
        <f>SUM(Febrero!$H127:$AL127)</f>
        <v>0</v>
      </c>
      <c r="E127" s="33">
        <f t="shared" ref="E127:E134" si="26">C127-D127</f>
        <v>6520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3500.0</v>
      </c>
      <c r="D128" s="33">
        <f>SUM(Febrero!$H128:$AL128)</f>
        <v>0</v>
      </c>
      <c r="E128" s="33">
        <f t="shared" si="26"/>
        <v>3500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SUM(Febrero!$H129:$AL129)</f>
        <v>0</v>
      </c>
      <c r="E129" s="33">
        <f t="shared" si="26"/>
        <v>700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SUM(Febrero!$H130:$AL130)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SUM(Febrero!$H131:$AL131)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SUM(Febrero!$H132:$AL132)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SUM(Febrero!$H133:$AL133)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SUM(Febrero!$H134:$AL134)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0</v>
      </c>
      <c r="D136" s="31">
        <f t="shared" si="27"/>
        <v>0</v>
      </c>
      <c r="E136" s="31">
        <f t="shared" si="27"/>
        <v>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SUM(Febrero!$H137:$AL137)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SUM(Febrero!$H138:$AL138)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SUM(Febrero!$H139:$AL139)</f>
        <v>0</v>
      </c>
      <c r="E139" s="33">
        <f t="shared" si="28"/>
        <v>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">
        <v>135</v>
      </c>
      <c r="C140" s="73">
        <v>0.0</v>
      </c>
      <c r="D140" s="33">
        <f>SUM(Febrero!$H140:$AL140)</f>
        <v>0</v>
      </c>
      <c r="E140" s="33">
        <f t="shared" si="28"/>
        <v>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SUM(Febrero!$H141:$AL141)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SUM(Febrero!$H142:$AL142)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SUM(Febrero!$H143:$AL143)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SUM(Febrero!$H144:$AL144)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0</v>
      </c>
      <c r="D146" s="31">
        <f t="shared" si="29"/>
        <v>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0.0</v>
      </c>
      <c r="D147" s="33">
        <f>SUM(Febrero!$H147:$AL147)</f>
        <v>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SUM(Febrero!$H148:$AL148)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SUM(Febrero!$H149:$AL149)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SUM(Febrero!$H150:$AL150)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SUM(Febrero!$H151:$AL151)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SUM(Febrero!$H152:$AL152)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SUM(Febrero!$H153:$AL153)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SUM(Febrero!$H154:$AL154)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SUM(Febrero!$H155:$AL155)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SUM(Febrero!$H156:$AL156)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SUM(Febrero!$H159:$AL159)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SUM(Febrero!$H160:$AL160)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SUM(Febrero!$H161:$AL161)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SUM(Febrero!$H162:$AL162)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SUM(Febrero!$H163:$AL163)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SUM(Febrero!$H164:$AL164)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SUM(Febrero!$H165:$AL165)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SUM(Febrero!$H166:$AL166)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29298</v>
      </c>
      <c r="D169" s="47">
        <f t="shared" si="33"/>
        <v>4741.72</v>
      </c>
      <c r="E169" s="47">
        <f t="shared" si="33"/>
        <v>24556.28</v>
      </c>
      <c r="F169" s="45"/>
      <c r="G169" s="45"/>
      <c r="H169" s="76">
        <f t="shared" ref="H169:AL169" si="34">SUM(H28:H156)</f>
        <v>0</v>
      </c>
      <c r="I169" s="76">
        <f t="shared" si="34"/>
        <v>754.4</v>
      </c>
      <c r="J169" s="76">
        <f t="shared" si="34"/>
        <v>123</v>
      </c>
      <c r="K169" s="76">
        <f t="shared" si="34"/>
        <v>0</v>
      </c>
      <c r="L169" s="76">
        <f t="shared" si="34"/>
        <v>802.4</v>
      </c>
      <c r="M169" s="76">
        <f t="shared" si="34"/>
        <v>0</v>
      </c>
      <c r="N169" s="76">
        <f t="shared" si="34"/>
        <v>523</v>
      </c>
      <c r="O169" s="76">
        <f t="shared" si="34"/>
        <v>0</v>
      </c>
      <c r="P169" s="76">
        <f t="shared" si="34"/>
        <v>0</v>
      </c>
      <c r="Q169" s="76">
        <f t="shared" si="34"/>
        <v>123</v>
      </c>
      <c r="R169" s="76">
        <f t="shared" si="34"/>
        <v>0</v>
      </c>
      <c r="S169" s="76">
        <f t="shared" si="34"/>
        <v>40</v>
      </c>
      <c r="T169" s="76">
        <f t="shared" si="34"/>
        <v>40</v>
      </c>
      <c r="U169" s="76">
        <f t="shared" si="34"/>
        <v>803</v>
      </c>
      <c r="V169" s="76">
        <f t="shared" si="34"/>
        <v>1119.92</v>
      </c>
      <c r="W169" s="76">
        <f t="shared" si="34"/>
        <v>0</v>
      </c>
      <c r="X169" s="76">
        <f t="shared" si="34"/>
        <v>273</v>
      </c>
      <c r="Y169" s="76">
        <f t="shared" si="34"/>
        <v>100</v>
      </c>
      <c r="Z169" s="76">
        <f t="shared" si="34"/>
        <v>40</v>
      </c>
      <c r="AA169" s="76">
        <f t="shared" si="34"/>
        <v>0</v>
      </c>
      <c r="AB169" s="76">
        <f t="shared" si="34"/>
        <v>0</v>
      </c>
      <c r="AC169" s="76">
        <f t="shared" si="34"/>
        <v>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44000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29298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14702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4741.72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-4741.72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1034</v>
      </c>
    </row>
    <row r="192" ht="19.5" customHeight="1">
      <c r="B192" s="12"/>
      <c r="C192" s="64"/>
      <c r="D192" s="65" t="str">
        <f>B37</f>
        <v>SALUD</v>
      </c>
      <c r="E192" s="66">
        <f>D37</f>
        <v>428.4</v>
      </c>
    </row>
    <row r="193" ht="19.5" customHeight="1">
      <c r="B193" s="12"/>
      <c r="C193" s="64"/>
      <c r="D193" s="65" t="str">
        <f>B45</f>
        <v>CASA</v>
      </c>
      <c r="E193" s="66">
        <f>D45</f>
        <v>40</v>
      </c>
    </row>
    <row r="194" ht="19.5" customHeight="1">
      <c r="B194" s="12"/>
      <c r="C194" s="64"/>
      <c r="D194" s="65" t="str">
        <f>B58</f>
        <v>ROPA Y CALZADO</v>
      </c>
      <c r="E194" s="66">
        <f>D58</f>
        <v>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2439.32</v>
      </c>
    </row>
    <row r="197" ht="19.5" customHeight="1">
      <c r="B197" s="12"/>
      <c r="C197" s="64"/>
      <c r="D197" s="65" t="str">
        <f>B88</f>
        <v>HIGIENE</v>
      </c>
      <c r="E197" s="66">
        <f>D88</f>
        <v>0</v>
      </c>
    </row>
    <row r="198" ht="19.5" customHeight="1">
      <c r="B198" s="12"/>
      <c r="C198" s="64"/>
      <c r="D198" s="65" t="str">
        <f>B97</f>
        <v>NIÑOS</v>
      </c>
      <c r="E198" s="66">
        <f>D97</f>
        <v>800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0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44256.0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62000</v>
      </c>
      <c r="D9" s="29">
        <f t="shared" si="1"/>
        <v>51000</v>
      </c>
      <c r="E9" s="29">
        <f t="shared" si="1"/>
        <v>-11000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62000</v>
      </c>
      <c r="D11" s="31">
        <f t="shared" si="2"/>
        <v>51000</v>
      </c>
      <c r="E11" s="31">
        <f t="shared" si="2"/>
        <v>-11000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52000.0</v>
      </c>
      <c r="D12" s="70">
        <f>SUM(Marzo!$H12:$AL12)</f>
        <v>51000</v>
      </c>
      <c r="E12" s="33">
        <f t="shared" ref="E12:E20" si="3">D12-C12</f>
        <v>-1000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>
        <v>21000.0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>
        <v>30000.0</v>
      </c>
    </row>
    <row r="13">
      <c r="B13" s="9" t="str">
        <f>Categorias!B13</f>
        <v>Aguinaldo</v>
      </c>
      <c r="C13" s="73">
        <v>10000.0</v>
      </c>
      <c r="D13" s="70">
        <f>SUM(Marzo!$H13:$AL13)</f>
        <v>0</v>
      </c>
      <c r="E13" s="33">
        <f t="shared" si="3"/>
        <v>-10000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SUM(Marzo!$H14:$AL14)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SUM(Marzo!$H15:$AL15)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SUM(Marzo!$H16:$AL16)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SUM(Marzo!$H17:$AL17)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SUM(Marzo!$H18:$AL18)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SUM(Marzo!$H19:$AL19)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SUM(Marzo!$H20:$AL20)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27988</v>
      </c>
      <c r="D26" s="38">
        <f t="shared" si="4"/>
        <v>28329</v>
      </c>
      <c r="E26" s="38">
        <f t="shared" si="4"/>
        <v>-341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4484</v>
      </c>
      <c r="E28" s="31">
        <f t="shared" si="5"/>
        <v>-1484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2500.0</v>
      </c>
      <c r="D29" s="33">
        <f>SUM(Marzo!$H29:$AL29)</f>
        <v>4054</v>
      </c>
      <c r="E29" s="33">
        <f t="shared" ref="E29:E35" si="6">C29-D29</f>
        <v>-1554</v>
      </c>
      <c r="F29" s="34"/>
      <c r="H29" s="72"/>
      <c r="I29" s="72">
        <v>210.0</v>
      </c>
      <c r="J29" s="72"/>
      <c r="K29" s="72">
        <v>1200.0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>
        <v>760.0</v>
      </c>
      <c r="W29" s="72"/>
      <c r="X29" s="72"/>
      <c r="Y29" s="72">
        <v>1304.0</v>
      </c>
      <c r="Z29" s="72"/>
      <c r="AA29" s="72">
        <v>580.0</v>
      </c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500.0</v>
      </c>
      <c r="D30" s="33">
        <f>SUM(Marzo!$H30:$AL30)</f>
        <v>430</v>
      </c>
      <c r="E30" s="33">
        <f t="shared" si="6"/>
        <v>70</v>
      </c>
      <c r="F30" s="34"/>
      <c r="H30" s="72"/>
      <c r="I30" s="72"/>
      <c r="J30" s="72"/>
      <c r="K30" s="72"/>
      <c r="L30" s="72"/>
      <c r="M30" s="72"/>
      <c r="N30" s="72"/>
      <c r="O30" s="72">
        <v>50.0</v>
      </c>
      <c r="P30" s="72"/>
      <c r="Q30" s="72"/>
      <c r="R30" s="72">
        <v>180.0</v>
      </c>
      <c r="S30" s="72">
        <v>200.0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SUM(Marzo!$H31:$AL31)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SUM(Marzo!$H32:$AL32)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SUM(Marzo!$H33:$AL33)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SUM(Marzo!$H34:$AL34)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SUM(Marzo!$H35:$AL35)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0</v>
      </c>
      <c r="D37" s="31">
        <f t="shared" si="7"/>
        <v>2492</v>
      </c>
      <c r="E37" s="31">
        <f t="shared" si="7"/>
        <v>-2492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SUM(Marzo!$H38:$AL38)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SUM(Marzo!$H39:$AL39)</f>
        <v>2492</v>
      </c>
      <c r="E39" s="33">
        <f t="shared" si="8"/>
        <v>-2492</v>
      </c>
      <c r="F39" s="34"/>
      <c r="H39" s="72"/>
      <c r="I39" s="72"/>
      <c r="J39" s="72"/>
      <c r="K39" s="72"/>
      <c r="L39" s="72"/>
      <c r="M39" s="72"/>
      <c r="N39" s="72"/>
      <c r="O39" s="72">
        <v>570.0</v>
      </c>
      <c r="P39" s="72">
        <v>1372.0</v>
      </c>
      <c r="Q39" s="72"/>
      <c r="R39" s="72"/>
      <c r="S39" s="72"/>
      <c r="T39" s="72"/>
      <c r="U39" s="72"/>
      <c r="V39" s="72">
        <v>190.0</v>
      </c>
      <c r="W39" s="72">
        <v>360.0</v>
      </c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SUM(Marzo!$H40:$AL40)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SUM(Marzo!$H41:$AL41)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SUM(Marzo!$H42:$AL42)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SUM(Marzo!$H43:$AL43)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14400</v>
      </c>
      <c r="D45" s="31">
        <f t="shared" si="9"/>
        <v>16730</v>
      </c>
      <c r="E45" s="31">
        <f t="shared" si="9"/>
        <v>-2330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SUM(Marzo!$H46:$AL46)</f>
        <v>8730</v>
      </c>
      <c r="E46" s="33">
        <f t="shared" ref="E46:E56" si="10">C46-D46</f>
        <v>-8730</v>
      </c>
      <c r="F46" s="34"/>
      <c r="H46" s="72"/>
      <c r="I46" s="72">
        <v>7500.0</v>
      </c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>
        <v>1230.0</v>
      </c>
    </row>
    <row r="47" ht="15.75" customHeight="1">
      <c r="B47" s="9" t="str">
        <f>Categorias!B43</f>
        <v>Electricidad</v>
      </c>
      <c r="C47" s="73">
        <v>1200.0</v>
      </c>
      <c r="D47" s="33">
        <f>SUM(Marzo!$H47:$AL47)</f>
        <v>0</v>
      </c>
      <c r="E47" s="33">
        <f t="shared" si="10"/>
        <v>1200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200.0</v>
      </c>
      <c r="D48" s="33">
        <f>SUM(Marzo!$H48:$AL48)</f>
        <v>0</v>
      </c>
      <c r="E48" s="33">
        <f t="shared" si="10"/>
        <v>200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SUM(Marzo!$H49:$AL49)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SUM(Marzo!$H50:$AL50)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10000.0</v>
      </c>
      <c r="D51" s="33">
        <f>SUM(Marzo!$H51:$AL51)</f>
        <v>5000</v>
      </c>
      <c r="E51" s="33">
        <f t="shared" si="10"/>
        <v>5000</v>
      </c>
      <c r="F51" s="34"/>
      <c r="H51" s="72">
        <v>5000.0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3000.0</v>
      </c>
      <c r="D52" s="33">
        <f>SUM(Marzo!$H52:$AL52)</f>
        <v>3000</v>
      </c>
      <c r="E52" s="33">
        <f t="shared" si="10"/>
        <v>0</v>
      </c>
      <c r="F52" s="34"/>
      <c r="H52" s="72">
        <v>3000.0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SUM(Marzo!$H53:$AL53)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SUM(Marzo!$H54:$AL54)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SUM(Marzo!$H55:$AL55)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SUM(Marzo!$H56:$AL56)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2053</v>
      </c>
      <c r="E58" s="31">
        <f t="shared" si="11"/>
        <v>-2053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SUM(Marzo!$H59:$AL59)</f>
        <v>1600</v>
      </c>
      <c r="E59" s="33">
        <f t="shared" ref="E59:E66" si="12">C59-D59</f>
        <v>-1600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>
        <v>1600.0</v>
      </c>
    </row>
    <row r="60" ht="15.75" customHeight="1">
      <c r="B60" s="9" t="str">
        <f>Categorias!B56</f>
        <v>Ropa de niños</v>
      </c>
      <c r="C60" s="73">
        <v>0.0</v>
      </c>
      <c r="D60" s="33">
        <f>SUM(Marzo!$H60:$AL60)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SUM(Marzo!$H61:$AL61)</f>
        <v>380</v>
      </c>
      <c r="E61" s="33">
        <f t="shared" si="12"/>
        <v>-380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>
        <v>380.0</v>
      </c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SUM(Marzo!$H62:$AL62)</f>
        <v>73</v>
      </c>
      <c r="E62" s="33">
        <f t="shared" si="12"/>
        <v>-73</v>
      </c>
      <c r="F62" s="34"/>
      <c r="H62" s="72"/>
      <c r="I62" s="72"/>
      <c r="J62" s="72"/>
      <c r="K62" s="72"/>
      <c r="L62" s="72"/>
      <c r="M62" s="72"/>
      <c r="N62" s="72"/>
      <c r="O62" s="72">
        <v>73.0</v>
      </c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SUM(Marzo!$H63:$AL63)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SUM(Marzo!$H64:$AL64)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SUM(Marzo!$H65:$AL65)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SUM(Marzo!$H66:$AL66)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738</v>
      </c>
      <c r="D68" s="31">
        <f t="shared" si="13"/>
        <v>330</v>
      </c>
      <c r="E68" s="31">
        <f t="shared" si="13"/>
        <v>408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289.0</v>
      </c>
      <c r="D69" s="33">
        <f>SUM(Marzo!$H69:$AL69)</f>
        <v>280</v>
      </c>
      <c r="E69" s="33">
        <f t="shared" ref="E69:E75" si="14">C69-D69</f>
        <v>9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>
        <v>280.0</v>
      </c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249.0</v>
      </c>
      <c r="D70" s="33">
        <f>SUM(Marzo!$H70:$AL70)</f>
        <v>0</v>
      </c>
      <c r="E70" s="33">
        <f t="shared" si="14"/>
        <v>249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SUM(Marzo!$H71:$AL71)</f>
        <v>50</v>
      </c>
      <c r="E71" s="33">
        <f t="shared" si="14"/>
        <v>150</v>
      </c>
      <c r="F71" s="34"/>
      <c r="H71" s="72"/>
      <c r="I71" s="72"/>
      <c r="J71" s="72"/>
      <c r="K71" s="72"/>
      <c r="L71" s="72"/>
      <c r="M71" s="72"/>
      <c r="N71" s="72">
        <v>50.0</v>
      </c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SUM(Marzo!$H72:$AL72)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SUM(Marzo!$H73:$AL73)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SUM(Marzo!$H74:$AL74)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SUM(Marzo!$H75:$AL75)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3500</v>
      </c>
      <c r="D77" s="31">
        <f t="shared" si="15"/>
        <v>150</v>
      </c>
      <c r="E77" s="31">
        <f t="shared" si="15"/>
        <v>3350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0.0</v>
      </c>
      <c r="D78" s="33">
        <f>SUM(Marzo!$H78:$AL78)</f>
        <v>0</v>
      </c>
      <c r="E78" s="33">
        <f t="shared" ref="E78:E86" si="16">C78-D78</f>
        <v>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SUM(Marzo!$H79:$AL79)</f>
        <v>150</v>
      </c>
      <c r="E79" s="33">
        <f t="shared" si="16"/>
        <v>-150</v>
      </c>
      <c r="F79" s="34"/>
      <c r="H79" s="72">
        <v>150.0</v>
      </c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1000.0</v>
      </c>
      <c r="D80" s="33">
        <f>SUM(Marzo!$H80:$AL80)</f>
        <v>0</v>
      </c>
      <c r="E80" s="33">
        <f t="shared" si="16"/>
        <v>1000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2500.0</v>
      </c>
      <c r="D81" s="33">
        <f>SUM(Marzo!$H81:$AL81)</f>
        <v>0</v>
      </c>
      <c r="E81" s="33">
        <f t="shared" si="16"/>
        <v>2500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SUM(Marzo!$H82:$AL82)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SUM(Marzo!$H83:$AL83)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SUM(Marzo!$H84:$AL84)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SUM(Marzo!$H85:$AL85)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SUM(Marzo!$H86:$AL86)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250</v>
      </c>
      <c r="D88" s="31">
        <f t="shared" si="17"/>
        <v>0</v>
      </c>
      <c r="E88" s="31">
        <f t="shared" si="17"/>
        <v>250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SUM(Marzo!$H89:$AL89)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250.0</v>
      </c>
      <c r="D90" s="33">
        <f>SUM(Marzo!$H90:$AL90)</f>
        <v>0</v>
      </c>
      <c r="E90" s="33">
        <f t="shared" si="18"/>
        <v>250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SUM(Marzo!$H91:$AL91)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SUM(Marzo!$H92:$AL92)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SUM(Marzo!$H93:$AL93)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SUM(Marzo!$H94:$AL94)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SUM(Marzo!$H95:$AL95)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1000</v>
      </c>
      <c r="D97" s="31">
        <f t="shared" si="19"/>
        <v>990</v>
      </c>
      <c r="E97" s="31">
        <f t="shared" si="19"/>
        <v>10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SUM(Marzo!$H98:$AL98)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1000.0</v>
      </c>
      <c r="D99" s="33">
        <f>SUM(Marzo!$H99:$AL99)</f>
        <v>990</v>
      </c>
      <c r="E99" s="33">
        <f t="shared" si="20"/>
        <v>10</v>
      </c>
      <c r="F99" s="34"/>
      <c r="H99" s="72"/>
      <c r="I99" s="72">
        <v>790.0</v>
      </c>
      <c r="J99" s="72"/>
      <c r="K99" s="72"/>
      <c r="L99" s="72"/>
      <c r="M99" s="72"/>
      <c r="N99" s="72">
        <v>200.0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SUM(Marzo!$H100:$AL100)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SUM(Marzo!$H101:$AL101)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SUM(Marzo!$H102:$AL102)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SUM(Marzo!$H103:$AL103)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SUM(Marzo!$H104:$AL104)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SUM(Marzo!$H105:$AL105)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SUM(Marzo!$H108:$AL108)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SUM(Marzo!$H109:$AL109)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SUM(Marzo!$H110:$AL110)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SUM(Marzo!$H111:$AL111)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">
        <v>136</v>
      </c>
      <c r="C112" s="73">
        <v>0.0</v>
      </c>
      <c r="D112" s="33">
        <f>SUM(Marzo!$H112:$AL112)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SUM(Marzo!$H113:$AL113)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1000</v>
      </c>
      <c r="D115" s="31">
        <f t="shared" si="23"/>
        <v>700</v>
      </c>
      <c r="E115" s="31">
        <f t="shared" si="23"/>
        <v>300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SUM(Marzo!$H116:$AL116)</f>
        <v>700</v>
      </c>
      <c r="E116" s="33">
        <f t="shared" ref="E116:E124" si="24">C116-D116</f>
        <v>-700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>
        <v>700.0</v>
      </c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1000.0</v>
      </c>
      <c r="D117" s="33">
        <f>SUM(Marzo!$H117:$AL117)</f>
        <v>0</v>
      </c>
      <c r="E117" s="33">
        <f t="shared" si="24"/>
        <v>1000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SUM(Marzo!$H118:$AL118)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SUM(Marzo!$H119:$AL119)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SUM(Marzo!$H120:$AL120)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SUM(Marzo!$H121:$AL121)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SUM(Marzo!$H122:$AL122)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SUM(Marzo!$H123:$AL123)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SUM(Marzo!$H124:$AL124)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0</v>
      </c>
      <c r="D126" s="31">
        <f t="shared" si="25"/>
        <v>0</v>
      </c>
      <c r="E126" s="31">
        <f t="shared" si="25"/>
        <v>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0.0</v>
      </c>
      <c r="D127" s="33">
        <f>SUM(Marzo!$H127:$AL127)</f>
        <v>0</v>
      </c>
      <c r="E127" s="33">
        <f t="shared" ref="E127:E134" si="26">C127-D127</f>
        <v>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0.0</v>
      </c>
      <c r="D128" s="33">
        <f>SUM(Marzo!$H128:$AL128)</f>
        <v>0</v>
      </c>
      <c r="E128" s="33">
        <f t="shared" si="26"/>
        <v>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0.0</v>
      </c>
      <c r="D129" s="33">
        <f>SUM(Marzo!$H129:$AL129)</f>
        <v>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SUM(Marzo!$H130:$AL130)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SUM(Marzo!$H131:$AL131)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SUM(Marzo!$H132:$AL132)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SUM(Marzo!$H133:$AL133)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SUM(Marzo!$H134:$AL134)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1100</v>
      </c>
      <c r="D136" s="31">
        <f t="shared" si="27"/>
        <v>360</v>
      </c>
      <c r="E136" s="31">
        <f t="shared" si="27"/>
        <v>740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SUM(Marzo!$H137:$AL137)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SUM(Marzo!$H138:$AL138)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700.0</v>
      </c>
      <c r="D139" s="33">
        <f>SUM(Marzo!$H139:$AL139)</f>
        <v>360</v>
      </c>
      <c r="E139" s="33">
        <f t="shared" si="28"/>
        <v>340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>
        <v>360.0</v>
      </c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400.0</v>
      </c>
      <c r="D140" s="33">
        <f>SUM(Marzo!$H140:$AL140)</f>
        <v>0</v>
      </c>
      <c r="E140" s="33">
        <f t="shared" si="28"/>
        <v>400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SUM(Marzo!$H141:$AL141)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SUM(Marzo!$H142:$AL142)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SUM(Marzo!$H143:$AL143)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SUM(Marzo!$H144:$AL144)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3000</v>
      </c>
      <c r="D146" s="31">
        <f t="shared" si="29"/>
        <v>0</v>
      </c>
      <c r="E146" s="31">
        <f t="shared" si="29"/>
        <v>3000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3000.0</v>
      </c>
      <c r="D147" s="33">
        <f>SUM(Marzo!$H147:$AL147)</f>
        <v>0</v>
      </c>
      <c r="E147" s="33">
        <f t="shared" ref="E147:E156" si="30">C147-D147</f>
        <v>3000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SUM(Marzo!$H148:$AL148)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SUM(Marzo!$H149:$AL149)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SUM(Marzo!$H150:$AL150)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SUM(Marzo!$H151:$AL151)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SUM(Marzo!$H152:$AL152)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SUM(Marzo!$H153:$AL153)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SUM(Marzo!$H154:$AL154)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SUM(Marzo!$H155:$AL155)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SUM(Marzo!$H156:$AL156)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40</v>
      </c>
      <c r="E158" s="31">
        <f t="shared" si="31"/>
        <v>-40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SUM(Marzo!$H159:$AL159)</f>
        <v>40</v>
      </c>
      <c r="E159" s="33">
        <f t="shared" ref="E159:E166" si="32">C159-D159</f>
        <v>-40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>
        <v>40.0</v>
      </c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SUM(Marzo!$H160:$AL160)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SUM(Marzo!$H161:$AL161)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SUM(Marzo!$H162:$AL162)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SUM(Marzo!$H163:$AL163)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SUM(Marzo!$H164:$AL164)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SUM(Marzo!$H165:$AL165)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SUM(Marzo!$H166:$AL166)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27988</v>
      </c>
      <c r="D169" s="47">
        <f t="shared" si="33"/>
        <v>28329</v>
      </c>
      <c r="E169" s="47">
        <f t="shared" si="33"/>
        <v>-341</v>
      </c>
      <c r="F169" s="45"/>
      <c r="G169" s="45"/>
      <c r="H169" s="76">
        <f t="shared" ref="H169:AL169" si="34">SUM(H28:H156)</f>
        <v>8150</v>
      </c>
      <c r="I169" s="76">
        <f t="shared" si="34"/>
        <v>8500</v>
      </c>
      <c r="J169" s="76">
        <f t="shared" si="34"/>
        <v>0</v>
      </c>
      <c r="K169" s="76">
        <f t="shared" si="34"/>
        <v>1200</v>
      </c>
      <c r="L169" s="76">
        <f t="shared" si="34"/>
        <v>0</v>
      </c>
      <c r="M169" s="76">
        <f t="shared" si="34"/>
        <v>0</v>
      </c>
      <c r="N169" s="76">
        <f t="shared" si="34"/>
        <v>250</v>
      </c>
      <c r="O169" s="76">
        <f t="shared" si="34"/>
        <v>693</v>
      </c>
      <c r="P169" s="76">
        <f t="shared" si="34"/>
        <v>1372</v>
      </c>
      <c r="Q169" s="76">
        <f t="shared" si="34"/>
        <v>0</v>
      </c>
      <c r="R169" s="76">
        <f t="shared" si="34"/>
        <v>180</v>
      </c>
      <c r="S169" s="76">
        <f t="shared" si="34"/>
        <v>200</v>
      </c>
      <c r="T169" s="76">
        <f t="shared" si="34"/>
        <v>0</v>
      </c>
      <c r="U169" s="76">
        <f t="shared" si="34"/>
        <v>0</v>
      </c>
      <c r="V169" s="76">
        <f t="shared" si="34"/>
        <v>1230</v>
      </c>
      <c r="W169" s="76">
        <f t="shared" si="34"/>
        <v>740</v>
      </c>
      <c r="X169" s="76">
        <f t="shared" si="34"/>
        <v>0</v>
      </c>
      <c r="Y169" s="76">
        <f t="shared" si="34"/>
        <v>2004</v>
      </c>
      <c r="Z169" s="76">
        <f t="shared" si="34"/>
        <v>360</v>
      </c>
      <c r="AA169" s="76">
        <f t="shared" si="34"/>
        <v>580</v>
      </c>
      <c r="AB169" s="76">
        <f t="shared" si="34"/>
        <v>0</v>
      </c>
      <c r="AC169" s="76">
        <f t="shared" si="34"/>
        <v>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2830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62000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27988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34012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51000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28329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22671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4484</v>
      </c>
    </row>
    <row r="192" ht="19.5" customHeight="1">
      <c r="B192" s="12"/>
      <c r="C192" s="64"/>
      <c r="D192" s="65" t="str">
        <f>B37</f>
        <v>SALUD</v>
      </c>
      <c r="E192" s="66">
        <f>D37</f>
        <v>2492</v>
      </c>
    </row>
    <row r="193" ht="19.5" customHeight="1">
      <c r="B193" s="12"/>
      <c r="C193" s="64"/>
      <c r="D193" s="65" t="str">
        <f>B45</f>
        <v>CASA</v>
      </c>
      <c r="E193" s="66">
        <f>D45</f>
        <v>16730</v>
      </c>
    </row>
    <row r="194" ht="19.5" customHeight="1">
      <c r="B194" s="12"/>
      <c r="C194" s="64"/>
      <c r="D194" s="65" t="str">
        <f>B58</f>
        <v>ROPA Y CALZADO</v>
      </c>
      <c r="E194" s="66">
        <f>D58</f>
        <v>2053</v>
      </c>
    </row>
    <row r="195" ht="19.5" customHeight="1">
      <c r="B195" s="12"/>
      <c r="C195" s="64"/>
      <c r="D195" s="65" t="str">
        <f>B68</f>
        <v>COMUNICACIÓN</v>
      </c>
      <c r="E195" s="66">
        <f>D68</f>
        <v>330</v>
      </c>
    </row>
    <row r="196" ht="19.5" customHeight="1">
      <c r="B196" s="12"/>
      <c r="C196" s="64"/>
      <c r="D196" s="65" t="str">
        <f>B77</f>
        <v>TRANSPORTE</v>
      </c>
      <c r="E196" s="66">
        <f>D77</f>
        <v>150</v>
      </c>
    </row>
    <row r="197" ht="19.5" customHeight="1">
      <c r="B197" s="12"/>
      <c r="C197" s="64"/>
      <c r="D197" s="65" t="str">
        <f>B88</f>
        <v>HIGIENE</v>
      </c>
      <c r="E197" s="66">
        <f>D88</f>
        <v>0</v>
      </c>
    </row>
    <row r="198" ht="19.5" customHeight="1">
      <c r="B198" s="12"/>
      <c r="C198" s="64"/>
      <c r="D198" s="65" t="str">
        <f>B97</f>
        <v>NIÑOS</v>
      </c>
      <c r="E198" s="66">
        <f>D97</f>
        <v>990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700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360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40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44287.0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0</v>
      </c>
      <c r="D9" s="29">
        <f t="shared" si="1"/>
        <v>52000</v>
      </c>
      <c r="E9" s="29">
        <f t="shared" si="1"/>
        <v>52000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0</v>
      </c>
      <c r="D11" s="31">
        <f t="shared" si="2"/>
        <v>52000</v>
      </c>
      <c r="E11" s="31">
        <f t="shared" si="2"/>
        <v>52000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0.0</v>
      </c>
      <c r="D12" s="70">
        <f>SUM(Abril!$H12:$AL12)</f>
        <v>42000</v>
      </c>
      <c r="E12" s="33">
        <f t="shared" ref="E12:E20" si="3">D12-C12</f>
        <v>42000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>
        <v>21000.0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>
        <v>21000.0</v>
      </c>
    </row>
    <row r="13">
      <c r="B13" s="9" t="str">
        <f>Categorias!B13</f>
        <v>Aguinaldo</v>
      </c>
      <c r="C13" s="73">
        <v>0.0</v>
      </c>
      <c r="D13" s="70">
        <f>SUM(Abril!$H13:$AL13)</f>
        <v>10000</v>
      </c>
      <c r="E13" s="33">
        <f t="shared" si="3"/>
        <v>10000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>
        <v>10000.0</v>
      </c>
    </row>
    <row r="14">
      <c r="B14" s="9" t="str">
        <f>Categorias!B14</f>
        <v>Fondo de ahorro</v>
      </c>
      <c r="C14" s="73">
        <v>0.0</v>
      </c>
      <c r="D14" s="70">
        <f>SUM(Abril!$H14:$AL14)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SUM(Abril!$H15:$AL15)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SUM(Abril!$H16:$AL16)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SUM(Abril!$H17:$AL17)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SUM(Abril!$H18:$AL18)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SUM(Abril!$H19:$AL19)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SUM(Abril!$H20:$AL20)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0</v>
      </c>
      <c r="D26" s="38">
        <f t="shared" si="4"/>
        <v>25574</v>
      </c>
      <c r="E26" s="38">
        <f t="shared" si="4"/>
        <v>-25574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0</v>
      </c>
      <c r="D28" s="31">
        <f t="shared" si="5"/>
        <v>2602</v>
      </c>
      <c r="E28" s="31">
        <f t="shared" si="5"/>
        <v>-2602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0.0</v>
      </c>
      <c r="D29" s="33">
        <f>SUM(Abril!$H29:$AL29)</f>
        <v>2015</v>
      </c>
      <c r="E29" s="33">
        <f t="shared" ref="E29:E35" si="6">C29-D29</f>
        <v>-2015</v>
      </c>
      <c r="F29" s="34"/>
      <c r="H29" s="72"/>
      <c r="I29" s="72">
        <v>1029.0</v>
      </c>
      <c r="J29" s="72"/>
      <c r="K29" s="72"/>
      <c r="L29" s="72">
        <v>40.0</v>
      </c>
      <c r="M29" s="72">
        <v>218.0</v>
      </c>
      <c r="N29" s="72">
        <v>60.0</v>
      </c>
      <c r="O29" s="72"/>
      <c r="P29" s="72"/>
      <c r="Q29" s="72">
        <v>555.0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>
        <v>33.0</v>
      </c>
      <c r="AE29" s="72"/>
      <c r="AF29" s="72"/>
      <c r="AG29" s="72">
        <v>80.0</v>
      </c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SUM(Abril!$H30:$AL30)</f>
        <v>587</v>
      </c>
      <c r="E30" s="33">
        <f t="shared" si="6"/>
        <v>-587</v>
      </c>
      <c r="F30" s="3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>
        <v>287.0</v>
      </c>
      <c r="AB30" s="72"/>
      <c r="AC30" s="72"/>
      <c r="AD30" s="72"/>
      <c r="AE30" s="72"/>
      <c r="AF30" s="72"/>
      <c r="AG30" s="72"/>
      <c r="AH30" s="72"/>
      <c r="AI30" s="72"/>
      <c r="AJ30" s="72"/>
      <c r="AK30" s="72">
        <v>300.0</v>
      </c>
      <c r="AL30" s="72"/>
    </row>
    <row r="31" ht="15.75" customHeight="1">
      <c r="B31" s="9" t="str">
        <f>Categorias!B27</f>
        <v>-</v>
      </c>
      <c r="C31" s="73">
        <v>0.0</v>
      </c>
      <c r="D31" s="33">
        <f>SUM(Abril!$H31:$AL31)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SUM(Abril!$H32:$AL32)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SUM(Abril!$H33:$AL33)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SUM(Abril!$H34:$AL34)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SUM(Abril!$H35:$AL35)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0</v>
      </c>
      <c r="D37" s="31">
        <f t="shared" si="7"/>
        <v>4070</v>
      </c>
      <c r="E37" s="31">
        <f t="shared" si="7"/>
        <v>-4070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SUM(Abril!$H38:$AL38)</f>
        <v>2400</v>
      </c>
      <c r="E38" s="33">
        <f t="shared" ref="E38:E43" si="8">C38-D38</f>
        <v>-2400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>
        <v>2400.0</v>
      </c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SUM(Abril!$H39:$AL39)</f>
        <v>1670</v>
      </c>
      <c r="E39" s="33">
        <f t="shared" si="8"/>
        <v>-1670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>
        <v>470.0</v>
      </c>
      <c r="Z39" s="72"/>
      <c r="AA39" s="72"/>
      <c r="AB39" s="72"/>
      <c r="AC39" s="72">
        <v>950.0</v>
      </c>
      <c r="AD39" s="72">
        <v>250.0</v>
      </c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SUM(Abril!$H40:$AL40)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SUM(Abril!$H41:$AL41)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SUM(Abril!$H42:$AL42)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SUM(Abril!$H43:$AL43)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0</v>
      </c>
      <c r="D45" s="31">
        <f t="shared" si="9"/>
        <v>12559</v>
      </c>
      <c r="E45" s="31">
        <f t="shared" si="9"/>
        <v>-12559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SUM(Abril!$H46:$AL46)</f>
        <v>12236</v>
      </c>
      <c r="E46" s="33">
        <f t="shared" ref="E46:E56" si="10">C46-D46</f>
        <v>-12236</v>
      </c>
      <c r="F46" s="34"/>
      <c r="H46" s="72">
        <v>2645.0</v>
      </c>
      <c r="I46" s="72">
        <v>591.0</v>
      </c>
      <c r="J46" s="72"/>
      <c r="K46" s="72">
        <v>200.0</v>
      </c>
      <c r="L46" s="72">
        <v>8000.0</v>
      </c>
      <c r="M46" s="72"/>
      <c r="N46" s="72"/>
      <c r="O46" s="72">
        <v>800.0</v>
      </c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SUM(Abril!$H47:$AL47)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0.0</v>
      </c>
      <c r="D48" s="33">
        <f>SUM(Abril!$H48:$AL48)</f>
        <v>200</v>
      </c>
      <c r="E48" s="33">
        <f t="shared" si="10"/>
        <v>-200</v>
      </c>
      <c r="F48" s="34"/>
      <c r="H48" s="72"/>
      <c r="I48" s="72"/>
      <c r="J48" s="72"/>
      <c r="K48" s="72">
        <v>200.0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SUM(Abril!$H49:$AL49)</f>
        <v>123</v>
      </c>
      <c r="E49" s="33">
        <f t="shared" si="10"/>
        <v>-123</v>
      </c>
      <c r="F49" s="34"/>
      <c r="H49" s="72"/>
      <c r="I49" s="72"/>
      <c r="J49" s="72"/>
      <c r="K49" s="72"/>
      <c r="L49" s="72">
        <v>123.0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SUM(Abril!$H50:$AL50)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0.0</v>
      </c>
      <c r="D51" s="33">
        <f>SUM(Abril!$H51:$AL51)</f>
        <v>0</v>
      </c>
      <c r="E51" s="33">
        <f t="shared" si="10"/>
        <v>0</v>
      </c>
      <c r="F51" s="3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0.0</v>
      </c>
      <c r="D52" s="33">
        <f>SUM(Abril!$H52:$AL52)</f>
        <v>0</v>
      </c>
      <c r="E52" s="33">
        <f t="shared" si="10"/>
        <v>0</v>
      </c>
      <c r="F52" s="3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SUM(Abril!$H53:$AL53)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SUM(Abril!$H54:$AL54)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SUM(Abril!$H55:$AL55)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SUM(Abril!$H56:$AL56)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2400</v>
      </c>
      <c r="E58" s="31">
        <f t="shared" si="11"/>
        <v>-2400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SUM(Abril!$H59:$AL59)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SUM(Abril!$H60:$AL60)</f>
        <v>2000</v>
      </c>
      <c r="E60" s="33">
        <f t="shared" si="12"/>
        <v>-2000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>
        <v>2000.0</v>
      </c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SUM(Abril!$H61:$AL61)</f>
        <v>400</v>
      </c>
      <c r="E61" s="33">
        <f t="shared" si="12"/>
        <v>-400</v>
      </c>
      <c r="F61" s="34"/>
      <c r="H61" s="72"/>
      <c r="I61" s="72"/>
      <c r="J61" s="72"/>
      <c r="K61" s="72"/>
      <c r="L61" s="72">
        <v>400.0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SUM(Abril!$H62:$AL62)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SUM(Abril!$H63:$AL63)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SUM(Abril!$H64:$AL64)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SUM(Abril!$H65:$AL65)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SUM(Abril!$H66:$AL66)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0</v>
      </c>
      <c r="D68" s="31">
        <f t="shared" si="13"/>
        <v>0</v>
      </c>
      <c r="E68" s="31">
        <f t="shared" si="13"/>
        <v>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0.0</v>
      </c>
      <c r="D69" s="33">
        <f>SUM(Abril!$H69:$AL69)</f>
        <v>0</v>
      </c>
      <c r="E69" s="33">
        <f t="shared" ref="E69:E75" si="14">C69-D69</f>
        <v>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0.0</v>
      </c>
      <c r="D70" s="33">
        <f>SUM(Abril!$H70:$AL70)</f>
        <v>0</v>
      </c>
      <c r="E70" s="33">
        <f t="shared" si="14"/>
        <v>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0.0</v>
      </c>
      <c r="D71" s="33">
        <f>SUM(Abril!$H71:$AL71)</f>
        <v>0</v>
      </c>
      <c r="E71" s="33">
        <f t="shared" si="14"/>
        <v>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SUM(Abril!$H72:$AL72)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SUM(Abril!$H73:$AL73)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SUM(Abril!$H74:$AL74)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SUM(Abril!$H75:$AL75)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0</v>
      </c>
      <c r="D77" s="31">
        <f t="shared" si="15"/>
        <v>1000</v>
      </c>
      <c r="E77" s="31">
        <f t="shared" si="15"/>
        <v>-1000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0.0</v>
      </c>
      <c r="D78" s="33">
        <f>SUM(Abril!$H78:$AL78)</f>
        <v>1000</v>
      </c>
      <c r="E78" s="33">
        <f t="shared" ref="E78:E86" si="16">C78-D78</f>
        <v>-1000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>
        <v>1000.0</v>
      </c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SUM(Abril!$H79:$AL79)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0.0</v>
      </c>
      <c r="D80" s="33">
        <f>SUM(Abril!$H80:$AL80)</f>
        <v>0</v>
      </c>
      <c r="E80" s="33">
        <f t="shared" si="16"/>
        <v>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SUM(Abril!$H81:$AL81)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SUM(Abril!$H82:$AL82)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SUM(Abril!$H83:$AL83)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SUM(Abril!$H84:$AL84)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SUM(Abril!$H85:$AL85)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SUM(Abril!$H86:$AL86)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0</v>
      </c>
      <c r="D88" s="31">
        <f t="shared" si="17"/>
        <v>0</v>
      </c>
      <c r="E88" s="31">
        <f t="shared" si="17"/>
        <v>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SUM(Abril!$H89:$AL89)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0.0</v>
      </c>
      <c r="D90" s="33">
        <f>SUM(Abril!$H90:$AL90)</f>
        <v>0</v>
      </c>
      <c r="E90" s="33">
        <f t="shared" si="18"/>
        <v>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SUM(Abril!$H91:$AL91)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SUM(Abril!$H92:$AL92)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SUM(Abril!$H93:$AL93)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SUM(Abril!$H94:$AL94)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SUM(Abril!$H95:$AL95)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0</v>
      </c>
      <c r="E97" s="31">
        <f t="shared" si="19"/>
        <v>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SUM(Abril!$H98:$AL98)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SUM(Abril!$H99:$AL99)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SUM(Abril!$H100:$AL100)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SUM(Abril!$H101:$AL101)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SUM(Abril!$H102:$AL102)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SUM(Abril!$H103:$AL103)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SUM(Abril!$H104:$AL104)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SUM(Abril!$H105:$AL105)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SUM(Abril!$H108:$AL108)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SUM(Abril!$H109:$AL109)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SUM(Abril!$H110:$AL110)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SUM(Abril!$H111:$AL111)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SUM(Abril!$H112:$AL112)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SUM(Abril!$H113:$AL113)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0</v>
      </c>
      <c r="D115" s="31">
        <f t="shared" si="23"/>
        <v>1000</v>
      </c>
      <c r="E115" s="31">
        <f t="shared" si="23"/>
        <v>-1000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SUM(Abril!$H116:$AL116)</f>
        <v>1000</v>
      </c>
      <c r="E116" s="33">
        <f t="shared" ref="E116:E124" si="24">C116-D116</f>
        <v>-1000</v>
      </c>
      <c r="F116" s="34"/>
      <c r="H116" s="72"/>
      <c r="I116" s="72"/>
      <c r="J116" s="72"/>
      <c r="K116" s="72"/>
      <c r="L116" s="72">
        <v>1000.0</v>
      </c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0.0</v>
      </c>
      <c r="D117" s="33">
        <f>SUM(Abril!$H117:$AL117)</f>
        <v>0</v>
      </c>
      <c r="E117" s="33">
        <f t="shared" si="24"/>
        <v>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SUM(Abril!$H118:$AL118)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SUM(Abril!$H119:$AL119)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SUM(Abril!$H120:$AL120)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SUM(Abril!$H121:$AL121)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SUM(Abril!$H122:$AL122)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SUM(Abril!$H123:$AL123)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SUM(Abril!$H124:$AL124)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0</v>
      </c>
      <c r="D126" s="31">
        <f t="shared" si="25"/>
        <v>0</v>
      </c>
      <c r="E126" s="31">
        <f t="shared" si="25"/>
        <v>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0.0</v>
      </c>
      <c r="D127" s="33">
        <f>SUM(Abril!$H127:$AL127)</f>
        <v>0</v>
      </c>
      <c r="E127" s="33">
        <f t="shared" ref="E127:E134" si="26">C127-D127</f>
        <v>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0.0</v>
      </c>
      <c r="D128" s="33">
        <f>SUM(Abril!$H128:$AL128)</f>
        <v>0</v>
      </c>
      <c r="E128" s="33">
        <f t="shared" si="26"/>
        <v>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0.0</v>
      </c>
      <c r="D129" s="33">
        <f>SUM(Abril!$H129:$AL129)</f>
        <v>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SUM(Abril!$H130:$AL130)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SUM(Abril!$H131:$AL131)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SUM(Abril!$H132:$AL132)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SUM(Abril!$H133:$AL133)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SUM(Abril!$H134:$AL134)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0</v>
      </c>
      <c r="D136" s="31">
        <f t="shared" si="27"/>
        <v>1943</v>
      </c>
      <c r="E136" s="31">
        <f t="shared" si="27"/>
        <v>-1943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SUM(Abril!$H137:$AL137)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SUM(Abril!$H138:$AL138)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SUM(Abril!$H139:$AL139)</f>
        <v>1100</v>
      </c>
      <c r="E139" s="33">
        <f t="shared" si="28"/>
        <v>-1100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>
        <v>1100.0</v>
      </c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0.0</v>
      </c>
      <c r="D140" s="33">
        <f>SUM(Abril!$H140:$AL140)</f>
        <v>843</v>
      </c>
      <c r="E140" s="33">
        <f t="shared" si="28"/>
        <v>-843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>
        <v>843.0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SUM(Abril!$H141:$AL141)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SUM(Abril!$H142:$AL142)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SUM(Abril!$H143:$AL143)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SUM(Abril!$H144:$AL144)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0</v>
      </c>
      <c r="D146" s="31">
        <f t="shared" si="29"/>
        <v>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0.0</v>
      </c>
      <c r="D147" s="33">
        <f>SUM(Abril!$H147:$AL147)</f>
        <v>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SUM(Abril!$H148:$AL148)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SUM(Abril!$H149:$AL149)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SUM(Abril!$H150:$AL150)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SUM(Abril!$H151:$AL151)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SUM(Abril!$H152:$AL152)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SUM(Abril!$H153:$AL153)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SUM(Abril!$H154:$AL154)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SUM(Abril!$H155:$AL155)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SUM(Abril!$H156:$AL156)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SUM(Abril!$H159:$AL159)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SUM(Abril!$H160:$AL160)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SUM(Abril!$H161:$AL161)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SUM(Abril!$H162:$AL162)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SUM(Abril!$H163:$AL163)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SUM(Abril!$H164:$AL164)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SUM(Abril!$H165:$AL165)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SUM(Abril!$H166:$AL166)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0</v>
      </c>
      <c r="D169" s="47">
        <f t="shared" si="33"/>
        <v>25574</v>
      </c>
      <c r="E169" s="47">
        <f t="shared" si="33"/>
        <v>-25574</v>
      </c>
      <c r="F169" s="45"/>
      <c r="G169" s="45"/>
      <c r="H169" s="76">
        <f t="shared" ref="H169:AL169" si="34">SUM(H28:H156)</f>
        <v>2645</v>
      </c>
      <c r="I169" s="76">
        <f t="shared" si="34"/>
        <v>1620</v>
      </c>
      <c r="J169" s="76">
        <f t="shared" si="34"/>
        <v>0</v>
      </c>
      <c r="K169" s="76">
        <f t="shared" si="34"/>
        <v>400</v>
      </c>
      <c r="L169" s="76">
        <f t="shared" si="34"/>
        <v>9563</v>
      </c>
      <c r="M169" s="76">
        <f t="shared" si="34"/>
        <v>218</v>
      </c>
      <c r="N169" s="76">
        <f t="shared" si="34"/>
        <v>60</v>
      </c>
      <c r="O169" s="76">
        <f t="shared" si="34"/>
        <v>800</v>
      </c>
      <c r="P169" s="76">
        <f t="shared" si="34"/>
        <v>0</v>
      </c>
      <c r="Q169" s="76">
        <f t="shared" si="34"/>
        <v>555</v>
      </c>
      <c r="R169" s="76">
        <f t="shared" si="34"/>
        <v>1000</v>
      </c>
      <c r="S169" s="76">
        <f t="shared" si="34"/>
        <v>0</v>
      </c>
      <c r="T169" s="76">
        <f t="shared" si="34"/>
        <v>0</v>
      </c>
      <c r="U169" s="76">
        <f t="shared" si="34"/>
        <v>1100</v>
      </c>
      <c r="V169" s="76">
        <f t="shared" si="34"/>
        <v>0</v>
      </c>
      <c r="W169" s="76">
        <f t="shared" si="34"/>
        <v>0</v>
      </c>
      <c r="X169" s="76">
        <f t="shared" si="34"/>
        <v>0</v>
      </c>
      <c r="Y169" s="76">
        <f t="shared" si="34"/>
        <v>470</v>
      </c>
      <c r="Z169" s="76">
        <f t="shared" si="34"/>
        <v>0</v>
      </c>
      <c r="AA169" s="76">
        <f t="shared" si="34"/>
        <v>287</v>
      </c>
      <c r="AB169" s="76">
        <f t="shared" si="34"/>
        <v>843</v>
      </c>
      <c r="AC169" s="76">
        <f t="shared" si="34"/>
        <v>950</v>
      </c>
      <c r="AD169" s="76">
        <f t="shared" si="34"/>
        <v>2683</v>
      </c>
      <c r="AE169" s="76">
        <f t="shared" si="34"/>
        <v>0</v>
      </c>
      <c r="AF169" s="76">
        <f t="shared" si="34"/>
        <v>0</v>
      </c>
      <c r="AG169" s="76">
        <f t="shared" si="34"/>
        <v>80</v>
      </c>
      <c r="AH169" s="76">
        <f t="shared" si="34"/>
        <v>2000</v>
      </c>
      <c r="AI169" s="76">
        <f t="shared" si="34"/>
        <v>0</v>
      </c>
      <c r="AJ169" s="76">
        <f t="shared" si="34"/>
        <v>0</v>
      </c>
      <c r="AK169" s="76">
        <f t="shared" si="34"/>
        <v>300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0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52000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25574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26426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2602</v>
      </c>
    </row>
    <row r="192" ht="19.5" customHeight="1">
      <c r="B192" s="12"/>
      <c r="C192" s="64"/>
      <c r="D192" s="65" t="str">
        <f>B37</f>
        <v>SALUD</v>
      </c>
      <c r="E192" s="66">
        <f>D37</f>
        <v>4070</v>
      </c>
    </row>
    <row r="193" ht="19.5" customHeight="1">
      <c r="B193" s="12"/>
      <c r="C193" s="64"/>
      <c r="D193" s="65" t="str">
        <f>B45</f>
        <v>CASA</v>
      </c>
      <c r="E193" s="66">
        <f>D45</f>
        <v>12559</v>
      </c>
    </row>
    <row r="194" ht="19.5" customHeight="1">
      <c r="B194" s="12"/>
      <c r="C194" s="64"/>
      <c r="D194" s="65" t="str">
        <f>B58</f>
        <v>ROPA Y CALZADO</v>
      </c>
      <c r="E194" s="66">
        <f>D58</f>
        <v>2400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1000</v>
      </c>
    </row>
    <row r="197" ht="19.5" customHeight="1">
      <c r="B197" s="12"/>
      <c r="C197" s="64"/>
      <c r="D197" s="65" t="str">
        <f>B88</f>
        <v>HIGIENE</v>
      </c>
      <c r="E197" s="66">
        <f>D88</f>
        <v>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1000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1943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44317.0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41720.4</v>
      </c>
      <c r="D9" s="29">
        <f t="shared" si="1"/>
        <v>42720.4</v>
      </c>
      <c r="E9" s="29">
        <f t="shared" si="1"/>
        <v>1000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41720.4</v>
      </c>
      <c r="D11" s="31">
        <f t="shared" si="2"/>
        <v>42720.4</v>
      </c>
      <c r="E11" s="31">
        <f t="shared" si="2"/>
        <v>1000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41720.4</v>
      </c>
      <c r="D12" s="70">
        <f>SUM(Mayo!$H12:$AL12)</f>
        <v>42720.4</v>
      </c>
      <c r="E12" s="33">
        <f t="shared" ref="E12:E20" si="3">D12-C12</f>
        <v>1000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>
        <v>20860.2</v>
      </c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>
        <v>21860.2</v>
      </c>
    </row>
    <row r="13">
      <c r="B13" s="9" t="str">
        <f>Categorias!B13</f>
        <v>Aguinaldo</v>
      </c>
      <c r="C13" s="73">
        <v>0.0</v>
      </c>
      <c r="D13" s="70">
        <f>SUM(Mayo!$H13:$AL13)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SUM(Mayo!$H14:$AL14)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SUM(Mayo!$H15:$AL15)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SUM(Mayo!$H16:$AL16)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SUM(Mayo!$H17:$AL17)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SUM(Mayo!$H18:$AL18)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SUM(Mayo!$H19:$AL19)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SUM(Mayo!$H20:$AL20)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24954.85</v>
      </c>
      <c r="D26" s="38">
        <f t="shared" si="4"/>
        <v>26612</v>
      </c>
      <c r="E26" s="38">
        <f t="shared" si="4"/>
        <v>-1657.15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2000</v>
      </c>
      <c r="D28" s="31">
        <f t="shared" si="5"/>
        <v>1898</v>
      </c>
      <c r="E28" s="31">
        <f t="shared" si="5"/>
        <v>102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2000.0</v>
      </c>
      <c r="D29" s="33">
        <f>SUM(Mayo!$H29:$AL29)</f>
        <v>1380</v>
      </c>
      <c r="E29" s="33">
        <f t="shared" ref="E29:E35" si="6">C29-D29</f>
        <v>620</v>
      </c>
      <c r="F29" s="34"/>
      <c r="H29" s="72">
        <v>380.0</v>
      </c>
      <c r="I29" s="72"/>
      <c r="J29" s="72"/>
      <c r="K29" s="72"/>
      <c r="L29" s="72"/>
      <c r="M29" s="72"/>
      <c r="N29" s="72"/>
      <c r="O29" s="72"/>
      <c r="P29" s="72">
        <v>1000.0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SUM(Mayo!$H30:$AL30)</f>
        <v>518</v>
      </c>
      <c r="E30" s="33">
        <f t="shared" si="6"/>
        <v>-518</v>
      </c>
      <c r="F30" s="34"/>
      <c r="H30" s="72"/>
      <c r="I30" s="72"/>
      <c r="J30" s="72"/>
      <c r="K30" s="72"/>
      <c r="L30" s="72"/>
      <c r="M30" s="72"/>
      <c r="N30" s="72"/>
      <c r="O30" s="72"/>
      <c r="P30" s="72">
        <v>310.0</v>
      </c>
      <c r="Q30" s="72">
        <v>16.0</v>
      </c>
      <c r="R30" s="72"/>
      <c r="S30" s="72"/>
      <c r="T30" s="72">
        <v>66.0</v>
      </c>
      <c r="U30" s="72"/>
      <c r="V30" s="72"/>
      <c r="W30" s="72">
        <v>126.0</v>
      </c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SUM(Mayo!$H31:$AL31)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SUM(Mayo!$H32:$AL32)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SUM(Mayo!$H33:$AL33)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SUM(Mayo!$H34:$AL34)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SUM(Mayo!$H35:$AL35)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600</v>
      </c>
      <c r="D37" s="31">
        <f t="shared" si="7"/>
        <v>1055</v>
      </c>
      <c r="E37" s="31">
        <f t="shared" si="7"/>
        <v>-455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SUM(Mayo!$H38:$AL38)</f>
        <v>170</v>
      </c>
      <c r="E38" s="33">
        <f t="shared" ref="E38:E43" si="8">C38-D38</f>
        <v>-170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>
        <v>170.0</v>
      </c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SUM(Mayo!$H39:$AL39)</f>
        <v>885</v>
      </c>
      <c r="E39" s="33">
        <f t="shared" si="8"/>
        <v>-885</v>
      </c>
      <c r="F39" s="34"/>
      <c r="H39" s="72">
        <v>600.0</v>
      </c>
      <c r="I39" s="72"/>
      <c r="J39" s="72">
        <v>285.0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600.0</v>
      </c>
      <c r="D40" s="33">
        <f>SUM(Mayo!$H40:$AL40)</f>
        <v>0</v>
      </c>
      <c r="E40" s="33">
        <f t="shared" si="8"/>
        <v>600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SUM(Mayo!$H41:$AL41)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SUM(Mayo!$H42:$AL42)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SUM(Mayo!$H43:$AL43)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8400</v>
      </c>
      <c r="D45" s="31">
        <f t="shared" si="9"/>
        <v>1510</v>
      </c>
      <c r="E45" s="31">
        <f t="shared" si="9"/>
        <v>6890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SUM(Mayo!$H46:$AL46)</f>
        <v>1510</v>
      </c>
      <c r="E46" s="33">
        <f t="shared" ref="E46:E56" si="10">C46-D46</f>
        <v>-1510</v>
      </c>
      <c r="F46" s="34"/>
      <c r="H46" s="72"/>
      <c r="I46" s="72"/>
      <c r="J46" s="72"/>
      <c r="K46" s="72"/>
      <c r="L46" s="72"/>
      <c r="M46" s="72"/>
      <c r="N46" s="72">
        <v>1510.0</v>
      </c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1000.0</v>
      </c>
      <c r="D47" s="33">
        <f>SUM(Mayo!$H47:$AL47)</f>
        <v>0</v>
      </c>
      <c r="E47" s="33">
        <f t="shared" si="10"/>
        <v>1000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SUM(Mayo!$H48:$AL48)</f>
        <v>0</v>
      </c>
      <c r="E48" s="33">
        <f t="shared" si="10"/>
        <v>300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100.0</v>
      </c>
      <c r="D49" s="33">
        <f>SUM(Mayo!$H49:$AL49)</f>
        <v>0</v>
      </c>
      <c r="E49" s="33">
        <f t="shared" si="10"/>
        <v>100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SUM(Mayo!$H50:$AL50)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SUM(Mayo!$H51:$AL51)</f>
        <v>0</v>
      </c>
      <c r="E51" s="33">
        <f t="shared" si="10"/>
        <v>5000</v>
      </c>
      <c r="F51" s="3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SUM(Mayo!$H52:$AL52)</f>
        <v>0</v>
      </c>
      <c r="E52" s="33">
        <f t="shared" si="10"/>
        <v>2000</v>
      </c>
      <c r="F52" s="3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SUM(Mayo!$H53:$AL53)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SUM(Mayo!$H54:$AL54)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SUM(Mayo!$H55:$AL55)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SUM(Mayo!$H56:$AL56)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400</v>
      </c>
      <c r="D58" s="31">
        <f t="shared" si="11"/>
        <v>1180</v>
      </c>
      <c r="E58" s="31">
        <f t="shared" si="11"/>
        <v>-780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SUM(Mayo!$H59:$AL59)</f>
        <v>1000</v>
      </c>
      <c r="E59" s="33">
        <f t="shared" ref="E59:E66" si="12">C59-D59</f>
        <v>-1000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>
        <v>1000.0</v>
      </c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400.0</v>
      </c>
      <c r="D60" s="33">
        <f>SUM(Mayo!$H60:$AL60)</f>
        <v>180</v>
      </c>
      <c r="E60" s="33">
        <f t="shared" si="12"/>
        <v>220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>
        <v>180.0</v>
      </c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SUM(Mayo!$H61:$AL61)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SUM(Mayo!$H62:$AL62)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SUM(Mayo!$H63:$AL63)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SUM(Mayo!$H64:$AL64)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SUM(Mayo!$H65:$AL65)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SUM(Mayo!$H66:$AL66)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1385</v>
      </c>
      <c r="D68" s="31">
        <f t="shared" si="13"/>
        <v>0</v>
      </c>
      <c r="E68" s="31">
        <f t="shared" si="13"/>
        <v>1385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289.0</v>
      </c>
      <c r="D69" s="33">
        <f>SUM(Mayo!$H69:$AL69)</f>
        <v>0</v>
      </c>
      <c r="E69" s="33">
        <f t="shared" ref="E69:E75" si="14">C69-D69</f>
        <v>289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249.0</v>
      </c>
      <c r="D70" s="33">
        <f>SUM(Mayo!$H70:$AL70)</f>
        <v>0</v>
      </c>
      <c r="E70" s="33">
        <f t="shared" si="14"/>
        <v>249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100.0</v>
      </c>
      <c r="D71" s="33">
        <f>SUM(Mayo!$H71:$AL71)</f>
        <v>0</v>
      </c>
      <c r="E71" s="33">
        <f t="shared" si="14"/>
        <v>100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528.0</v>
      </c>
      <c r="D72" s="33">
        <f>SUM(Mayo!$H72:$AL72)</f>
        <v>0</v>
      </c>
      <c r="E72" s="33">
        <f t="shared" si="14"/>
        <v>528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219.0</v>
      </c>
      <c r="D73" s="33">
        <f>SUM(Mayo!$H73:$AL73)</f>
        <v>0</v>
      </c>
      <c r="E73" s="33">
        <f t="shared" si="14"/>
        <v>219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SUM(Mayo!$H74:$AL74)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Categorias!B71</f>
        <v>-</v>
      </c>
      <c r="C75" s="73">
        <v>0.0</v>
      </c>
      <c r="D75" s="33">
        <f>SUM(Mayo!$H75:$AL75)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3550.68</v>
      </c>
      <c r="D77" s="31">
        <f t="shared" si="15"/>
        <v>0</v>
      </c>
      <c r="E77" s="31">
        <f t="shared" si="15"/>
        <v>3550.68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1600.0</v>
      </c>
      <c r="D78" s="33">
        <f>SUM(Mayo!$H78:$AL78)</f>
        <v>0</v>
      </c>
      <c r="E78" s="33">
        <f t="shared" ref="E78:E86" si="16">C78-D78</f>
        <v>1600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SUM(Mayo!$H79:$AL79)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SUM(Mayo!$H80:$AL80)</f>
        <v>0</v>
      </c>
      <c r="E80" s="33">
        <f t="shared" si="16"/>
        <v>1500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SUM(Mayo!$H81:$AL81)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SUM(Mayo!$H82:$AL82)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SUM(Mayo!$H83:$AL83)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450.68</v>
      </c>
      <c r="D84" s="33">
        <f>SUM(Mayo!$H84:$AL84)</f>
        <v>0</v>
      </c>
      <c r="E84" s="33">
        <f t="shared" si="16"/>
        <v>450.68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SUM(Mayo!$H85:$AL85)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SUM(Mayo!$H86:$AL86)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0</v>
      </c>
      <c r="D88" s="31">
        <f t="shared" si="17"/>
        <v>420</v>
      </c>
      <c r="E88" s="31">
        <f t="shared" si="17"/>
        <v>-420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SUM(Mayo!$H89:$AL89)</f>
        <v>420</v>
      </c>
      <c r="E89" s="33">
        <f t="shared" ref="E89:E95" si="18">C89-D89</f>
        <v>-420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>
        <v>137.0</v>
      </c>
      <c r="R89" s="72"/>
      <c r="S89" s="72"/>
      <c r="T89" s="72"/>
      <c r="U89" s="72"/>
      <c r="V89" s="72"/>
      <c r="W89" s="72"/>
      <c r="X89" s="72">
        <v>283.0</v>
      </c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0.0</v>
      </c>
      <c r="D90" s="33">
        <f>SUM(Mayo!$H90:$AL90)</f>
        <v>0</v>
      </c>
      <c r="E90" s="33">
        <f t="shared" si="18"/>
        <v>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SUM(Mayo!$H91:$AL91)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SUM(Mayo!$H92:$AL92)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SUM(Mayo!$H93:$AL93)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SUM(Mayo!$H94:$AL94)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SUM(Mayo!$H95:$AL95)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0</v>
      </c>
      <c r="E97" s="31">
        <f t="shared" si="19"/>
        <v>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SUM(Mayo!$H98:$AL98)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SUM(Mayo!$H99:$AL99)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SUM(Mayo!$H100:$AL100)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SUM(Mayo!$H101:$AL101)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SUM(Mayo!$H102:$AL102)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SUM(Mayo!$H103:$AL103)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SUM(Mayo!$H104:$AL104)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SUM(Mayo!$H105:$AL105)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312</v>
      </c>
      <c r="E107" s="31">
        <f t="shared" si="21"/>
        <v>-312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SUM(Mayo!$H108:$AL108)</f>
        <v>312</v>
      </c>
      <c r="E108" s="33">
        <f t="shared" ref="E108:E113" si="22">C108-D108</f>
        <v>-312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>
        <v>312.0</v>
      </c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SUM(Mayo!$H109:$AL109)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SUM(Mayo!$H110:$AL110)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SUM(Mayo!$H111:$AL111)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SUM(Mayo!$H112:$AL112)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SUM(Mayo!$H113:$AL113)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0</v>
      </c>
      <c r="D115" s="31">
        <f t="shared" si="23"/>
        <v>0</v>
      </c>
      <c r="E115" s="31">
        <f t="shared" si="23"/>
        <v>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SUM(Mayo!$H116:$AL116)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0.0</v>
      </c>
      <c r="D117" s="33">
        <f>SUM(Mayo!$H117:$AL117)</f>
        <v>0</v>
      </c>
      <c r="E117" s="33">
        <f t="shared" si="24"/>
        <v>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SUM(Mayo!$H118:$AL118)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SUM(Mayo!$H119:$AL119)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SUM(Mayo!$H120:$AL120)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SUM(Mayo!$H121:$AL121)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SUM(Mayo!$H122:$AL122)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SUM(Mayo!$H123:$AL123)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SUM(Mayo!$H124:$AL124)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8000</v>
      </c>
      <c r="D126" s="31">
        <f t="shared" si="25"/>
        <v>4000</v>
      </c>
      <c r="E126" s="31">
        <f t="shared" si="25"/>
        <v>4000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8000.0</v>
      </c>
      <c r="D127" s="33">
        <f>SUM(Mayo!$H127:$AL127)</f>
        <v>4000</v>
      </c>
      <c r="E127" s="33">
        <f t="shared" ref="E127:E134" si="26">C127-D127</f>
        <v>4000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>
        <v>4000.0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0.0</v>
      </c>
      <c r="D128" s="33">
        <f>SUM(Mayo!$H128:$AL128)</f>
        <v>0</v>
      </c>
      <c r="E128" s="33">
        <f t="shared" si="26"/>
        <v>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0.0</v>
      </c>
      <c r="D129" s="33">
        <f>SUM(Mayo!$H129:$AL129)</f>
        <v>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SUM(Mayo!$H130:$AL130)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SUM(Mayo!$H131:$AL131)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SUM(Mayo!$H132:$AL132)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SUM(Mayo!$H133:$AL133)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SUM(Mayo!$H134:$AL134)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619.17</v>
      </c>
      <c r="D136" s="31">
        <f t="shared" si="27"/>
        <v>137</v>
      </c>
      <c r="E136" s="31">
        <f t="shared" si="27"/>
        <v>482.17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SUM(Mayo!$H137:$AL137)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SUM(Mayo!$H138:$AL138)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SUM(Mayo!$H139:$AL139)</f>
        <v>137</v>
      </c>
      <c r="E139" s="33">
        <f t="shared" si="28"/>
        <v>-137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>
        <v>12.0</v>
      </c>
      <c r="T139" s="72"/>
      <c r="U139" s="72"/>
      <c r="V139" s="72"/>
      <c r="W139" s="72"/>
      <c r="X139" s="72">
        <v>125.0</v>
      </c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0.0</v>
      </c>
      <c r="D140" s="33">
        <f>SUM(Mayo!$H140:$AL140)</f>
        <v>0</v>
      </c>
      <c r="E140" s="33">
        <f t="shared" si="28"/>
        <v>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619.17</v>
      </c>
      <c r="D141" s="33">
        <f>SUM(Mayo!$H141:$AL141)</f>
        <v>0</v>
      </c>
      <c r="E141" s="33">
        <f t="shared" si="28"/>
        <v>619.17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SUM(Mayo!$H142:$AL142)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SUM(Mayo!$H143:$AL143)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SUM(Mayo!$H144:$AL144)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0</v>
      </c>
      <c r="D146" s="31">
        <f t="shared" si="29"/>
        <v>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0.0</v>
      </c>
      <c r="D147" s="33">
        <f>SUM(Mayo!$H147:$AL147)</f>
        <v>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SUM(Mayo!$H148:$AL148)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SUM(Mayo!$H149:$AL149)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SUM(Mayo!$H150:$AL150)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SUM(Mayo!$H151:$AL151)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SUM(Mayo!$H152:$AL152)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SUM(Mayo!$H153:$AL153)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SUM(Mayo!$H154:$AL154)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SUM(Mayo!$H155:$AL155)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SUM(Mayo!$H156:$AL156)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16100</v>
      </c>
      <c r="E158" s="31">
        <f t="shared" si="31"/>
        <v>-16100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SUM(Mayo!$H159:$AL159)</f>
        <v>6100</v>
      </c>
      <c r="E159" s="33">
        <f t="shared" ref="E159:E166" si="32">C159-D159</f>
        <v>-6100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>
        <v>6100.0</v>
      </c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SUM(Mayo!$H160:$AL160)</f>
        <v>10000</v>
      </c>
      <c r="E160" s="33">
        <f t="shared" si="32"/>
        <v>-10000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>
        <v>10000.0</v>
      </c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SUM(Mayo!$H161:$AL161)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SUM(Mayo!$H162:$AL162)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SUM(Mayo!$H163:$AL163)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SUM(Mayo!$H164:$AL164)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SUM(Mayo!$H165:$AL165)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SUM(Mayo!$H166:$AL166)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24954.85</v>
      </c>
      <c r="D169" s="47">
        <f t="shared" si="33"/>
        <v>26612</v>
      </c>
      <c r="E169" s="47">
        <f t="shared" si="33"/>
        <v>-1657.15</v>
      </c>
      <c r="F169" s="45"/>
      <c r="G169" s="45"/>
      <c r="H169" s="76">
        <f t="shared" ref="H169:AL169" si="34">SUM(H28:H156)</f>
        <v>980</v>
      </c>
      <c r="I169" s="76">
        <f t="shared" si="34"/>
        <v>0</v>
      </c>
      <c r="J169" s="76">
        <f t="shared" si="34"/>
        <v>285</v>
      </c>
      <c r="K169" s="76">
        <f t="shared" si="34"/>
        <v>0</v>
      </c>
      <c r="L169" s="76">
        <f t="shared" si="34"/>
        <v>0</v>
      </c>
      <c r="M169" s="76">
        <f t="shared" si="34"/>
        <v>0</v>
      </c>
      <c r="N169" s="76">
        <f t="shared" si="34"/>
        <v>1510</v>
      </c>
      <c r="O169" s="76">
        <f t="shared" si="34"/>
        <v>0</v>
      </c>
      <c r="P169" s="76">
        <f t="shared" si="34"/>
        <v>1310</v>
      </c>
      <c r="Q169" s="76">
        <f t="shared" si="34"/>
        <v>153</v>
      </c>
      <c r="R169" s="76">
        <f t="shared" si="34"/>
        <v>0</v>
      </c>
      <c r="S169" s="76">
        <f t="shared" si="34"/>
        <v>12</v>
      </c>
      <c r="T169" s="76">
        <f t="shared" si="34"/>
        <v>66</v>
      </c>
      <c r="U169" s="76">
        <f t="shared" si="34"/>
        <v>0</v>
      </c>
      <c r="V169" s="76">
        <f t="shared" si="34"/>
        <v>4000</v>
      </c>
      <c r="W169" s="76">
        <f t="shared" si="34"/>
        <v>126</v>
      </c>
      <c r="X169" s="76">
        <f t="shared" si="34"/>
        <v>900</v>
      </c>
      <c r="Y169" s="76">
        <f t="shared" si="34"/>
        <v>0</v>
      </c>
      <c r="Z169" s="76">
        <f t="shared" si="34"/>
        <v>0</v>
      </c>
      <c r="AA169" s="76">
        <f t="shared" si="34"/>
        <v>1000</v>
      </c>
      <c r="AB169" s="76">
        <f t="shared" si="34"/>
        <v>170</v>
      </c>
      <c r="AC169" s="76">
        <f t="shared" si="34"/>
        <v>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41720.4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24954.85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16765.55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42720.4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26612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16108.4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1898</v>
      </c>
    </row>
    <row r="192" ht="19.5" customHeight="1">
      <c r="B192" s="12"/>
      <c r="C192" s="64"/>
      <c r="D192" s="65" t="str">
        <f>B37</f>
        <v>SALUD</v>
      </c>
      <c r="E192" s="66">
        <f>D37</f>
        <v>1055</v>
      </c>
    </row>
    <row r="193" ht="19.5" customHeight="1">
      <c r="B193" s="12"/>
      <c r="C193" s="64"/>
      <c r="D193" s="65" t="str">
        <f>B45</f>
        <v>CASA</v>
      </c>
      <c r="E193" s="66">
        <f>D45</f>
        <v>1510</v>
      </c>
    </row>
    <row r="194" ht="19.5" customHeight="1">
      <c r="B194" s="12"/>
      <c r="C194" s="64"/>
      <c r="D194" s="65" t="str">
        <f>B58</f>
        <v>ROPA Y CALZADO</v>
      </c>
      <c r="E194" s="66">
        <f>D58</f>
        <v>1180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0</v>
      </c>
    </row>
    <row r="197" ht="19.5" customHeight="1">
      <c r="B197" s="12"/>
      <c r="C197" s="64"/>
      <c r="D197" s="65" t="str">
        <f>B88</f>
        <v>HIGIENE</v>
      </c>
      <c r="E197" s="66">
        <f>D88</f>
        <v>420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312</v>
      </c>
    </row>
    <row r="200" ht="19.5" customHeight="1">
      <c r="B200" s="12"/>
      <c r="C200" s="64"/>
      <c r="D200" s="65" t="str">
        <f>B115</f>
        <v>DIVERSIÓN</v>
      </c>
      <c r="E200" s="66">
        <f>D115</f>
        <v>0</v>
      </c>
    </row>
    <row r="201" ht="19.5" customHeight="1">
      <c r="B201" s="12"/>
      <c r="C201" s="64"/>
      <c r="D201" s="65" t="str">
        <f>B126</f>
        <v>DEUDAS</v>
      </c>
      <c r="E201" s="66">
        <f>D126</f>
        <v>4000</v>
      </c>
    </row>
    <row r="202" ht="19.5" customHeight="1">
      <c r="B202" s="12"/>
      <c r="C202" s="64"/>
      <c r="D202" s="65" t="str">
        <f>B136</f>
        <v>OTROS GASTOS</v>
      </c>
      <c r="E202" s="66">
        <f>D136</f>
        <v>137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16100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44348.0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41720.4</v>
      </c>
      <c r="D9" s="29">
        <f t="shared" si="1"/>
        <v>41720.4</v>
      </c>
      <c r="E9" s="29">
        <f t="shared" si="1"/>
        <v>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41720.4</v>
      </c>
      <c r="D11" s="31">
        <f t="shared" si="2"/>
        <v>41720.4</v>
      </c>
      <c r="E11" s="31">
        <f t="shared" si="2"/>
        <v>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41720.4</v>
      </c>
      <c r="D12" s="70">
        <f>SUM(Junio!$H12:$AL12)</f>
        <v>41720.4</v>
      </c>
      <c r="E12" s="33">
        <f t="shared" ref="E12:E20" si="3">D12-C12</f>
        <v>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>
        <v>20860.2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>
        <v>20860.2</v>
      </c>
      <c r="AL12" s="72"/>
    </row>
    <row r="13">
      <c r="B13" s="9" t="str">
        <f>Categorias!B13</f>
        <v>Aguinaldo</v>
      </c>
      <c r="C13" s="73">
        <v>0.0</v>
      </c>
      <c r="D13" s="70">
        <f>SUM(Junio!$H13:$AL13)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SUM(Junio!$H14:$AL14)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SUM(Junio!$H15:$AL15)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SUM(Junio!$H16:$AL16)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SUM(Junio!$H17:$AL17)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SUM(Junio!$H18:$AL18)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SUM(Junio!$H19:$AL19)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SUM(Junio!$H20:$AL20)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27580.9</v>
      </c>
      <c r="D26" s="38">
        <f t="shared" si="4"/>
        <v>37985.34</v>
      </c>
      <c r="E26" s="38">
        <f t="shared" si="4"/>
        <v>-10404.44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2000</v>
      </c>
      <c r="D28" s="31">
        <f t="shared" si="5"/>
        <v>3576.27</v>
      </c>
      <c r="E28" s="31">
        <f t="shared" si="5"/>
        <v>-1576.27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500.0</v>
      </c>
      <c r="D29" s="33">
        <f>SUM(Junio!$H29:$AL29)</f>
        <v>3169.27</v>
      </c>
      <c r="E29" s="33">
        <f t="shared" ref="E29:E35" si="6">C29-D29</f>
        <v>-2669.27</v>
      </c>
      <c r="F29" s="34"/>
      <c r="H29" s="72"/>
      <c r="I29" s="72"/>
      <c r="J29" s="72"/>
      <c r="K29" s="72"/>
      <c r="L29" s="72"/>
      <c r="M29" s="72"/>
      <c r="N29" s="72">
        <v>600.0</v>
      </c>
      <c r="O29" s="72">
        <v>200.0</v>
      </c>
      <c r="P29" s="72"/>
      <c r="Q29" s="72"/>
      <c r="R29" s="72"/>
      <c r="S29" s="72">
        <f>140+795.27</f>
        <v>935.27</v>
      </c>
      <c r="T29" s="72"/>
      <c r="U29" s="72">
        <f>123+28+14</f>
        <v>165</v>
      </c>
      <c r="V29" s="72"/>
      <c r="W29" s="72">
        <v>600.0</v>
      </c>
      <c r="X29" s="72"/>
      <c r="Y29" s="72"/>
      <c r="Z29" s="72"/>
      <c r="AA29" s="72"/>
      <c r="AB29" s="72"/>
      <c r="AC29" s="72">
        <v>300.0</v>
      </c>
      <c r="AD29" s="72">
        <v>75.0</v>
      </c>
      <c r="AE29" s="72"/>
      <c r="AF29" s="72"/>
      <c r="AG29" s="72">
        <f>135+159</f>
        <v>294</v>
      </c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500.0</v>
      </c>
      <c r="D30" s="33">
        <f>SUM(Junio!$H30:$AL30)</f>
        <v>407</v>
      </c>
      <c r="E30" s="33">
        <f t="shared" si="6"/>
        <v>93</v>
      </c>
      <c r="F30" s="34"/>
      <c r="H30" s="72">
        <v>170.0</v>
      </c>
      <c r="I30" s="72">
        <v>55.0</v>
      </c>
      <c r="J30" s="72">
        <v>150.0</v>
      </c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>
        <v>32.0</v>
      </c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500.0</v>
      </c>
      <c r="D31" s="33">
        <f>SUM(Junio!$H31:$AL31)</f>
        <v>0</v>
      </c>
      <c r="E31" s="33">
        <f t="shared" si="6"/>
        <v>500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500.0</v>
      </c>
      <c r="D32" s="33">
        <f>SUM(Junio!$H32:$AL32)</f>
        <v>0</v>
      </c>
      <c r="E32" s="33">
        <f t="shared" si="6"/>
        <v>500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SUM(Junio!$H33:$AL33)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SUM(Junio!$H34:$AL34)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SUM(Junio!$H35:$AL35)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1100</v>
      </c>
      <c r="D37" s="31">
        <f t="shared" si="7"/>
        <v>735</v>
      </c>
      <c r="E37" s="31">
        <f t="shared" si="7"/>
        <v>365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SUM(Junio!$H38:$AL38)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SUM(Junio!$H39:$AL39)</f>
        <v>235</v>
      </c>
      <c r="E39" s="33">
        <f t="shared" si="8"/>
        <v>-235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>
        <v>235.0</v>
      </c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1100.0</v>
      </c>
      <c r="D40" s="33">
        <f>SUM(Junio!$H40:$AL40)</f>
        <v>500</v>
      </c>
      <c r="E40" s="33">
        <f t="shared" si="8"/>
        <v>600</v>
      </c>
      <c r="F40" s="34"/>
      <c r="H40" s="72"/>
      <c r="I40" s="72"/>
      <c r="J40" s="72">
        <v>500.0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SUM(Junio!$H41:$AL41)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SUM(Junio!$H42:$AL42)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SUM(Junio!$H43:$AL43)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7240</v>
      </c>
      <c r="D45" s="31">
        <f t="shared" si="9"/>
        <v>12235</v>
      </c>
      <c r="E45" s="31">
        <f t="shared" si="9"/>
        <v>-4995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SUM(Junio!$H46:$AL46)</f>
        <v>0</v>
      </c>
      <c r="E46" s="33">
        <f t="shared" ref="E46:E56" si="10">C46-D46</f>
        <v>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SUM(Junio!$H47:$AL47)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240.0</v>
      </c>
      <c r="D48" s="33">
        <f>SUM(Junio!$H48:$AL48)</f>
        <v>235</v>
      </c>
      <c r="E48" s="33">
        <f t="shared" si="10"/>
        <v>5</v>
      </c>
      <c r="F48" s="34"/>
      <c r="H48" s="72">
        <v>235.0</v>
      </c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SUM(Junio!$H49:$AL49)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SUM(Junio!$H50:$AL50)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SUM(Junio!$H51:$AL51)</f>
        <v>10000</v>
      </c>
      <c r="E51" s="33">
        <f t="shared" si="10"/>
        <v>-5000</v>
      </c>
      <c r="F51" s="34"/>
      <c r="H51" s="72">
        <v>5000.0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>
        <v>5000.0</v>
      </c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SUM(Junio!$H52:$AL52)</f>
        <v>2000</v>
      </c>
      <c r="E52" s="33">
        <f t="shared" si="10"/>
        <v>0</v>
      </c>
      <c r="F52" s="34"/>
      <c r="H52" s="72">
        <v>2000.0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SUM(Junio!$H53:$AL53)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SUM(Junio!$H54:$AL54)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SUM(Junio!$H55:$AL55)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SUM(Junio!$H56:$AL56)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279</v>
      </c>
      <c r="E58" s="31">
        <f t="shared" si="11"/>
        <v>-279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SUM(Junio!$H59:$AL59)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SUM(Junio!$H60:$AL60)</f>
        <v>279</v>
      </c>
      <c r="E60" s="33">
        <f t="shared" si="12"/>
        <v>-279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>
        <v>279.0</v>
      </c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SUM(Junio!$H61:$AL61)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SUM(Junio!$H62:$AL62)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SUM(Junio!$H63:$AL63)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SUM(Junio!$H64:$AL64)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SUM(Junio!$H65:$AL65)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SUM(Junio!$H66:$AL66)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750</v>
      </c>
      <c r="D68" s="31">
        <f t="shared" si="13"/>
        <v>638</v>
      </c>
      <c r="E68" s="31">
        <f t="shared" si="13"/>
        <v>112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SUM(Junio!$H69:$AL69)</f>
        <v>289</v>
      </c>
      <c r="E69" s="33">
        <f t="shared" ref="E69:E75" si="14">C69-D69</f>
        <v>11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>
        <v>289.0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SUM(Junio!$H70:$AL70)</f>
        <v>249</v>
      </c>
      <c r="E70" s="33">
        <f t="shared" si="14"/>
        <v>1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>
        <v>249.0</v>
      </c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SUM(Junio!$H71:$AL71)</f>
        <v>100</v>
      </c>
      <c r="E71" s="33">
        <f t="shared" si="14"/>
        <v>100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>
        <v>100.0</v>
      </c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SUM(Junio!$H72:$AL72)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SUM(Junio!$H73:$AL73)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SUM(Junio!$H74:$AL74)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SUM(Junio!$H75:$AL75)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2000</v>
      </c>
      <c r="D77" s="31">
        <f t="shared" si="15"/>
        <v>1880.05</v>
      </c>
      <c r="E77" s="31">
        <f t="shared" si="15"/>
        <v>119.95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SUM(Junio!$H78:$AL78)</f>
        <v>1780.05</v>
      </c>
      <c r="E78" s="33">
        <f t="shared" ref="E78:E86" si="16">C78-D78</f>
        <v>219.95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>
        <v>961.32</v>
      </c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>
        <v>818.73</v>
      </c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SUM(Junio!$H79:$AL79)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0.0</v>
      </c>
      <c r="D80" s="33">
        <f>SUM(Junio!$H80:$AL80)</f>
        <v>100</v>
      </c>
      <c r="E80" s="33">
        <f t="shared" si="16"/>
        <v>-100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>
        <v>100.0</v>
      </c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SUM(Junio!$H81:$AL81)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SUM(Junio!$H82:$AL82)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SUM(Junio!$H83:$AL83)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SUM(Junio!$H84:$AL84)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SUM(Junio!$H85:$AL85)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SUM(Junio!$H86:$AL86)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0</v>
      </c>
      <c r="D88" s="31">
        <f t="shared" si="17"/>
        <v>0</v>
      </c>
      <c r="E88" s="31">
        <f t="shared" si="17"/>
        <v>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SUM(Junio!$H89:$AL89)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0.0</v>
      </c>
      <c r="D90" s="33">
        <f>SUM(Junio!$H90:$AL90)</f>
        <v>0</v>
      </c>
      <c r="E90" s="33">
        <f t="shared" si="18"/>
        <v>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SUM(Junio!$H91:$AL91)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SUM(Junio!$H92:$AL92)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SUM(Junio!$H93:$AL93)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SUM(Junio!$H94:$AL94)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SUM(Junio!$H95:$AL95)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400</v>
      </c>
      <c r="D97" s="31">
        <f t="shared" si="19"/>
        <v>0</v>
      </c>
      <c r="E97" s="31">
        <f t="shared" si="19"/>
        <v>400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SUM(Junio!$H98:$AL98)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SUM(Junio!$H99:$AL99)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SUM(Junio!$H100:$AL100)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SUM(Junio!$H101:$AL101)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400.0</v>
      </c>
      <c r="D102" s="33">
        <f>SUM(Junio!$H102:$AL102)</f>
        <v>0</v>
      </c>
      <c r="E102" s="33">
        <f t="shared" si="20"/>
        <v>400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SUM(Junio!$H103:$AL103)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SUM(Junio!$H104:$AL104)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SUM(Junio!$H105:$AL105)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SUM(Junio!$H108:$AL108)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SUM(Junio!$H109:$AL109)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SUM(Junio!$H110:$AL110)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SUM(Junio!$H111:$AL111)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SUM(Junio!$H112:$AL112)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SUM(Junio!$H113:$AL113)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0</v>
      </c>
      <c r="D115" s="31">
        <f t="shared" si="23"/>
        <v>1632</v>
      </c>
      <c r="E115" s="31">
        <f t="shared" si="23"/>
        <v>-1632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SUM(Junio!$H116:$AL116)</f>
        <v>732</v>
      </c>
      <c r="E116" s="33">
        <f t="shared" ref="E116:E124" si="24">C116-D116</f>
        <v>-732</v>
      </c>
      <c r="F116" s="34"/>
      <c r="H116" s="72"/>
      <c r="I116" s="72"/>
      <c r="J116" s="72"/>
      <c r="K116" s="72"/>
      <c r="L116" s="72">
        <f>262+470</f>
        <v>732</v>
      </c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0.0</v>
      </c>
      <c r="D117" s="33">
        <f>SUM(Junio!$H117:$AL117)</f>
        <v>900</v>
      </c>
      <c r="E117" s="33">
        <f t="shared" si="24"/>
        <v>-900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>
        <v>900.0</v>
      </c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SUM(Junio!$H118:$AL118)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SUM(Junio!$H119:$AL119)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SUM(Junio!$H120:$AL120)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SUM(Junio!$H121:$AL121)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SUM(Junio!$H122:$AL122)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SUM(Junio!$H123:$AL123)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SUM(Junio!$H124:$AL124)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13440.9</v>
      </c>
      <c r="D126" s="31">
        <f t="shared" si="25"/>
        <v>13750.02</v>
      </c>
      <c r="E126" s="31">
        <f t="shared" si="25"/>
        <v>-309.12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8000.0</v>
      </c>
      <c r="D127" s="33">
        <f>SUM(Junio!$H127:$AL127)</f>
        <v>8309.12</v>
      </c>
      <c r="E127" s="33">
        <f t="shared" ref="E127:E134" si="26">C127-D127</f>
        <v>-309.12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>
        <v>4154.56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>
        <v>4154.56</v>
      </c>
    </row>
    <row r="128" ht="15.75" customHeight="1">
      <c r="B128" s="9" t="str">
        <f>Categorias!B126</f>
        <v>Anualidad Platinum</v>
      </c>
      <c r="C128" s="73">
        <v>3319.84</v>
      </c>
      <c r="D128" s="33">
        <f>SUM(Junio!$H128:$AL128)</f>
        <v>3319.84</v>
      </c>
      <c r="E128" s="33">
        <f t="shared" si="26"/>
        <v>0</v>
      </c>
      <c r="F128" s="34"/>
      <c r="H128" s="72">
        <v>3319.84</v>
      </c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2121.06</v>
      </c>
      <c r="D129" s="33">
        <f>SUM(Junio!$H129:$AL129)</f>
        <v>0</v>
      </c>
      <c r="E129" s="33">
        <f t="shared" si="26"/>
        <v>2121.06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SUM(Junio!$H130:$AL130)</f>
        <v>2121.06</v>
      </c>
      <c r="E130" s="33">
        <f t="shared" si="26"/>
        <v>-2121.06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>
        <v>2121.06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SUM(Junio!$H131:$AL131)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SUM(Junio!$H132:$AL132)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SUM(Junio!$H133:$AL133)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SUM(Junio!$H134:$AL134)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650</v>
      </c>
      <c r="D136" s="31">
        <f t="shared" si="27"/>
        <v>3260</v>
      </c>
      <c r="E136" s="31">
        <f t="shared" si="27"/>
        <v>-2610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500.0</v>
      </c>
      <c r="D137" s="33">
        <f>SUM(Junio!$H137:$AL137)</f>
        <v>3260</v>
      </c>
      <c r="E137" s="33">
        <f t="shared" ref="E137:E144" si="28">C137-D137</f>
        <v>-2760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>
        <v>760.0</v>
      </c>
      <c r="AF137" s="72"/>
      <c r="AG137" s="72">
        <v>2500.0</v>
      </c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SUM(Junio!$H138:$AL138)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SUM(Junio!$H139:$AL139)</f>
        <v>0</v>
      </c>
      <c r="E139" s="33">
        <f t="shared" si="28"/>
        <v>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150.0</v>
      </c>
      <c r="D140" s="33">
        <f>SUM(Junio!$H140:$AL140)</f>
        <v>0</v>
      </c>
      <c r="E140" s="33">
        <f t="shared" si="28"/>
        <v>150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SUM(Junio!$H141:$AL141)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SUM(Junio!$H142:$AL142)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SUM(Junio!$H143:$AL143)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SUM(Junio!$H144:$AL144)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0</v>
      </c>
      <c r="D146" s="31">
        <f t="shared" si="29"/>
        <v>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0.0</v>
      </c>
      <c r="D147" s="33">
        <f>SUM(Junio!$H147:$AL147)</f>
        <v>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SUM(Junio!$H148:$AL148)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SUM(Junio!$H149:$AL149)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SUM(Junio!$H150:$AL150)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SUM(Junio!$H151:$AL151)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SUM(Junio!$H152:$AL152)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SUM(Junio!$H153:$AL153)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SUM(Junio!$H154:$AL154)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SUM(Junio!$H155:$AL155)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SUM(Junio!$H156:$AL156)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SUM(Junio!$H159:$AL159)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SUM(Junio!$H160:$AL160)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SUM(Junio!$H161:$AL161)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SUM(Junio!$H162:$AL162)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SUM(Junio!$H163:$AL163)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SUM(Junio!$H164:$AL164)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SUM(Junio!$H165:$AL165)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SUM(Junio!$H166:$AL166)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27580.9</v>
      </c>
      <c r="D169" s="47">
        <f t="shared" si="33"/>
        <v>37985.34</v>
      </c>
      <c r="E169" s="47">
        <f t="shared" si="33"/>
        <v>-10404.44</v>
      </c>
      <c r="F169" s="45"/>
      <c r="G169" s="45"/>
      <c r="H169" s="76">
        <f t="shared" ref="H169:AL169" si="34">SUM(H28:H156)</f>
        <v>10724.84</v>
      </c>
      <c r="I169" s="76">
        <f t="shared" si="34"/>
        <v>55</v>
      </c>
      <c r="J169" s="76">
        <f t="shared" si="34"/>
        <v>650</v>
      </c>
      <c r="K169" s="76">
        <f t="shared" si="34"/>
        <v>0</v>
      </c>
      <c r="L169" s="76">
        <f t="shared" si="34"/>
        <v>732</v>
      </c>
      <c r="M169" s="76">
        <f t="shared" si="34"/>
        <v>0</v>
      </c>
      <c r="N169" s="76">
        <f t="shared" si="34"/>
        <v>600</v>
      </c>
      <c r="O169" s="76">
        <f t="shared" si="34"/>
        <v>200</v>
      </c>
      <c r="P169" s="76">
        <f t="shared" si="34"/>
        <v>0</v>
      </c>
      <c r="Q169" s="76">
        <f t="shared" si="34"/>
        <v>0</v>
      </c>
      <c r="R169" s="76">
        <f t="shared" si="34"/>
        <v>0</v>
      </c>
      <c r="S169" s="76">
        <f t="shared" si="34"/>
        <v>2424.59</v>
      </c>
      <c r="T169" s="76">
        <f t="shared" si="34"/>
        <v>0</v>
      </c>
      <c r="U169" s="76">
        <f t="shared" si="34"/>
        <v>2675.06</v>
      </c>
      <c r="V169" s="76">
        <f t="shared" si="34"/>
        <v>9154.56</v>
      </c>
      <c r="W169" s="76">
        <f t="shared" si="34"/>
        <v>835</v>
      </c>
      <c r="X169" s="76">
        <f t="shared" si="34"/>
        <v>0</v>
      </c>
      <c r="Y169" s="76">
        <f t="shared" si="34"/>
        <v>0</v>
      </c>
      <c r="Z169" s="76">
        <f t="shared" si="34"/>
        <v>0</v>
      </c>
      <c r="AA169" s="76">
        <f t="shared" si="34"/>
        <v>0</v>
      </c>
      <c r="AB169" s="76">
        <f t="shared" si="34"/>
        <v>0</v>
      </c>
      <c r="AC169" s="76">
        <f t="shared" si="34"/>
        <v>300</v>
      </c>
      <c r="AD169" s="76">
        <f t="shared" si="34"/>
        <v>175</v>
      </c>
      <c r="AE169" s="76">
        <f t="shared" si="34"/>
        <v>760</v>
      </c>
      <c r="AF169" s="76">
        <f t="shared" si="34"/>
        <v>0</v>
      </c>
      <c r="AG169" s="76">
        <f t="shared" si="34"/>
        <v>3644.73</v>
      </c>
      <c r="AH169" s="76">
        <f t="shared" si="34"/>
        <v>900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4154.56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41720.4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27580.9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14139.5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41720.4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37985.34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3735.06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3576.27</v>
      </c>
    </row>
    <row r="192" ht="19.5" customHeight="1">
      <c r="B192" s="12"/>
      <c r="C192" s="64"/>
      <c r="D192" s="65" t="str">
        <f>B37</f>
        <v>SALUD</v>
      </c>
      <c r="E192" s="66">
        <f>D37</f>
        <v>735</v>
      </c>
    </row>
    <row r="193" ht="19.5" customHeight="1">
      <c r="B193" s="12"/>
      <c r="C193" s="64"/>
      <c r="D193" s="65" t="str">
        <f>B45</f>
        <v>CASA</v>
      </c>
      <c r="E193" s="66">
        <f>D45</f>
        <v>12235</v>
      </c>
    </row>
    <row r="194" ht="19.5" customHeight="1">
      <c r="B194" s="12"/>
      <c r="C194" s="64"/>
      <c r="D194" s="65" t="str">
        <f>B58</f>
        <v>ROPA Y CALZADO</v>
      </c>
      <c r="E194" s="66">
        <f>D58</f>
        <v>279</v>
      </c>
    </row>
    <row r="195" ht="19.5" customHeight="1">
      <c r="B195" s="12"/>
      <c r="C195" s="64"/>
      <c r="D195" s="65" t="str">
        <f>B68</f>
        <v>COMUNICACIÓN</v>
      </c>
      <c r="E195" s="66">
        <f>D68</f>
        <v>638</v>
      </c>
    </row>
    <row r="196" ht="19.5" customHeight="1">
      <c r="B196" s="12"/>
      <c r="C196" s="64"/>
      <c r="D196" s="65" t="str">
        <f>B77</f>
        <v>TRANSPORTE</v>
      </c>
      <c r="E196" s="66">
        <f>D77</f>
        <v>1880.05</v>
      </c>
    </row>
    <row r="197" ht="19.5" customHeight="1">
      <c r="B197" s="12"/>
      <c r="C197" s="64"/>
      <c r="D197" s="65" t="str">
        <f>B88</f>
        <v>HIGIENE</v>
      </c>
      <c r="E197" s="66">
        <f>D88</f>
        <v>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1632</v>
      </c>
    </row>
    <row r="201" ht="19.5" customHeight="1">
      <c r="B201" s="12"/>
      <c r="C201" s="64"/>
      <c r="D201" s="65" t="str">
        <f>B126</f>
        <v>DEUDAS</v>
      </c>
      <c r="E201" s="66">
        <f>D126</f>
        <v>13750.02</v>
      </c>
    </row>
    <row r="202" ht="19.5" customHeight="1">
      <c r="B202" s="12"/>
      <c r="C202" s="64"/>
      <c r="D202" s="65" t="str">
        <f>B136</f>
        <v>OTROS GASTOS</v>
      </c>
      <c r="E202" s="66">
        <f>D136</f>
        <v>3260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44378.0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0</v>
      </c>
      <c r="D9" s="29">
        <f t="shared" si="1"/>
        <v>0</v>
      </c>
      <c r="E9" s="29">
        <f t="shared" si="1"/>
        <v>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0</v>
      </c>
      <c r="D11" s="31">
        <f t="shared" si="2"/>
        <v>0</v>
      </c>
      <c r="E11" s="31">
        <f t="shared" si="2"/>
        <v>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0.0</v>
      </c>
      <c r="D12" s="70">
        <f>SUM(Julio!$H12:$AL12)</f>
        <v>0</v>
      </c>
      <c r="E12" s="33">
        <f t="shared" ref="E12:E20" si="3">D12-C12</f>
        <v>0</v>
      </c>
      <c r="F12" s="78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73">
        <v>0.0</v>
      </c>
      <c r="D13" s="70">
        <f>SUM(Julio!$H13:$AL13)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SUM(Julio!$H14:$AL14)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SUM(Julio!$H15:$AL15)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SUM(Julio!$H16:$AL16)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SUM(Julio!$H17:$AL17)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SUM(Julio!$H18:$AL18)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SUM(Julio!$H19:$AL19)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SUM(Julio!$H20:$AL20)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9970.7</v>
      </c>
      <c r="D26" s="38">
        <f t="shared" si="4"/>
        <v>12964</v>
      </c>
      <c r="E26" s="38">
        <f t="shared" si="4"/>
        <v>-2993.3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0</v>
      </c>
      <c r="D28" s="31">
        <f t="shared" si="5"/>
        <v>3264</v>
      </c>
      <c r="E28" s="31">
        <f t="shared" si="5"/>
        <v>-3264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0.0</v>
      </c>
      <c r="D29" s="33">
        <f>SUM(Julio!$H29:$AL29)</f>
        <v>2804</v>
      </c>
      <c r="E29" s="33">
        <f t="shared" ref="E29:E35" si="6">C29-D29</f>
        <v>-2804</v>
      </c>
      <c r="F29" s="34"/>
      <c r="H29" s="72">
        <v>285.0</v>
      </c>
      <c r="I29" s="72"/>
      <c r="J29" s="72">
        <v>1448.0</v>
      </c>
      <c r="K29" s="72"/>
      <c r="L29" s="72">
        <v>199.0</v>
      </c>
      <c r="M29" s="72">
        <v>300.0</v>
      </c>
      <c r="N29" s="72"/>
      <c r="O29" s="72">
        <v>300.0</v>
      </c>
      <c r="P29" s="72"/>
      <c r="Q29" s="79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>
        <v>272.0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SUM(Julio!$H30:$AL30)</f>
        <v>370</v>
      </c>
      <c r="E30" s="33">
        <f t="shared" si="6"/>
        <v>-370</v>
      </c>
      <c r="F30" s="34"/>
      <c r="H30" s="72"/>
      <c r="I30" s="72">
        <v>370.0</v>
      </c>
      <c r="J30" s="72"/>
      <c r="K30" s="72"/>
      <c r="L30" s="72"/>
      <c r="M30" s="72"/>
      <c r="N30" s="72"/>
      <c r="O30" s="72"/>
      <c r="P30" s="72"/>
      <c r="Q30" s="72"/>
      <c r="R30" s="72"/>
      <c r="S30" s="79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SUM(Julio!$H31:$AL31)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9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SUM(Julio!$H32:$AL32)</f>
        <v>90</v>
      </c>
      <c r="E32" s="33">
        <f t="shared" si="6"/>
        <v>-90</v>
      </c>
      <c r="F32" s="34"/>
      <c r="H32" s="72">
        <v>90.0</v>
      </c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SUM(Julio!$H33:$AL33)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SUM(Julio!$H34:$AL34)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SUM(Julio!$H35:$AL35)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0</v>
      </c>
      <c r="D37" s="31">
        <f t="shared" si="7"/>
        <v>0</v>
      </c>
      <c r="E37" s="31">
        <f t="shared" si="7"/>
        <v>0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SUM(Julio!$H38:$AL38)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SUM(Julio!$H39:$AL39)</f>
        <v>0</v>
      </c>
      <c r="E39" s="33">
        <f t="shared" si="8"/>
        <v>0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SUM(Julio!$H40:$AL40)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SUM(Julio!$H41:$AL41)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SUM(Julio!$H42:$AL42)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SUM(Julio!$H43:$AL43)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0</v>
      </c>
      <c r="D45" s="31">
        <f t="shared" si="9"/>
        <v>7200</v>
      </c>
      <c r="E45" s="31">
        <f t="shared" si="9"/>
        <v>-7200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SUM(Julio!$H46:$AL46)</f>
        <v>0</v>
      </c>
      <c r="E46" s="33">
        <f t="shared" ref="E46:E56" si="10">C46-D46</f>
        <v>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SUM(Julio!$H47:$AL47)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0.0</v>
      </c>
      <c r="D48" s="33">
        <f>SUM(Julio!$H48:$AL48)</f>
        <v>0</v>
      </c>
      <c r="E48" s="33">
        <f t="shared" si="10"/>
        <v>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SUM(Julio!$H49:$AL49)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SUM(Julio!$H50:$AL50)</f>
        <v>200</v>
      </c>
      <c r="E50" s="33">
        <f t="shared" si="10"/>
        <v>-200</v>
      </c>
      <c r="F50" s="34"/>
      <c r="H50" s="72"/>
      <c r="I50" s="72"/>
      <c r="J50" s="72"/>
      <c r="K50" s="72"/>
      <c r="L50" s="72"/>
      <c r="M50" s="72"/>
      <c r="N50" s="72"/>
      <c r="O50" s="72">
        <v>200.0</v>
      </c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0.0</v>
      </c>
      <c r="D51" s="33">
        <f>SUM(Julio!$H51:$AL51)</f>
        <v>5000</v>
      </c>
      <c r="E51" s="33">
        <f t="shared" si="10"/>
        <v>-5000</v>
      </c>
      <c r="F51" s="34"/>
      <c r="H51" s="72">
        <v>5000.0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0.0</v>
      </c>
      <c r="D52" s="33">
        <f>SUM(Julio!$H52:$AL52)</f>
        <v>2000</v>
      </c>
      <c r="E52" s="33">
        <f t="shared" si="10"/>
        <v>-2000</v>
      </c>
      <c r="F52" s="34"/>
      <c r="H52" s="72">
        <v>2000.0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SUM(Julio!$H53:$AL53)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SUM(Julio!$H54:$AL54)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SUM(Julio!$H55:$AL55)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SUM(Julio!$H56:$AL56)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0</v>
      </c>
      <c r="E58" s="31">
        <f t="shared" si="11"/>
        <v>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SUM(Julio!$H59:$AL59)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SUM(Julio!$H60:$AL60)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SUM(Julio!$H61:$AL61)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SUM(Julio!$H62:$AL62)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SUM(Julio!$H63:$AL63)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SUM(Julio!$H64:$AL64)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SUM(Julio!$H65:$AL65)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SUM(Julio!$H66:$AL66)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0</v>
      </c>
      <c r="D68" s="31">
        <f t="shared" si="13"/>
        <v>0</v>
      </c>
      <c r="E68" s="31">
        <f t="shared" si="13"/>
        <v>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0.0</v>
      </c>
      <c r="D69" s="33">
        <f>SUM(Julio!$H69:$AL69)</f>
        <v>0</v>
      </c>
      <c r="E69" s="33">
        <f t="shared" ref="E69:E75" si="14">C69-D69</f>
        <v>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0.0</v>
      </c>
      <c r="D70" s="33">
        <f>SUM(Julio!$H70:$AL70)</f>
        <v>0</v>
      </c>
      <c r="E70" s="33">
        <f t="shared" si="14"/>
        <v>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0.0</v>
      </c>
      <c r="D71" s="33">
        <f>SUM(Julio!$H71:$AL71)</f>
        <v>0</v>
      </c>
      <c r="E71" s="33">
        <f t="shared" si="14"/>
        <v>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SUM(Julio!$H72:$AL72)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SUM(Julio!$H73:$AL73)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SUM(Julio!$H74:$AL74)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SUM(Julio!$H75:$AL75)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0</v>
      </c>
      <c r="D77" s="31">
        <f t="shared" si="15"/>
        <v>0</v>
      </c>
      <c r="E77" s="31">
        <f t="shared" si="15"/>
        <v>0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0.0</v>
      </c>
      <c r="D78" s="33">
        <f>SUM(Julio!$H78:$AL78)</f>
        <v>0</v>
      </c>
      <c r="E78" s="33">
        <f t="shared" ref="E78:E86" si="16">C78-D78</f>
        <v>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SUM(Julio!$H79:$AL79)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0.0</v>
      </c>
      <c r="D80" s="33">
        <f>SUM(Julio!$H80:$AL80)</f>
        <v>0</v>
      </c>
      <c r="E80" s="33">
        <f t="shared" si="16"/>
        <v>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SUM(Julio!$H81:$AL81)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SUM(Julio!$H82:$AL82)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SUM(Julio!$H83:$AL83)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SUM(Julio!$H84:$AL84)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SUM(Julio!$H85:$AL85)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SUM(Julio!$H86:$AL86)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0</v>
      </c>
      <c r="D88" s="31">
        <f t="shared" si="17"/>
        <v>0</v>
      </c>
      <c r="E88" s="31">
        <f t="shared" si="17"/>
        <v>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SUM(Julio!$H89:$AL89)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0.0</v>
      </c>
      <c r="D90" s="33">
        <f>SUM(Julio!$H90:$AL90)</f>
        <v>0</v>
      </c>
      <c r="E90" s="33">
        <f t="shared" si="18"/>
        <v>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SUM(Julio!$H91:$AL91)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SUM(Julio!$H92:$AL92)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SUM(Julio!$H93:$AL93)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SUM(Julio!$H94:$AL94)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SUM(Julio!$H95:$AL95)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0</v>
      </c>
      <c r="E97" s="31">
        <f t="shared" si="19"/>
        <v>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SUM(Julio!$H98:$AL98)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SUM(Julio!$H99:$AL99)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SUM(Julio!$H100:$AL100)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SUM(Julio!$H101:$AL101)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SUM(Julio!$H102:$AL102)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SUM(Julio!$H103:$AL103)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SUM(Julio!$H104:$AL104)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SUM(Julio!$H105:$AL105)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SUM(Julio!$H108:$AL108)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SUM(Julio!$H109:$AL109)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SUM(Julio!$H110:$AL110)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SUM(Julio!$H111:$AL111)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SUM(Julio!$H112:$AL112)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SUM(Julio!$H113:$AL113)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0</v>
      </c>
      <c r="D115" s="31">
        <f t="shared" si="23"/>
        <v>0</v>
      </c>
      <c r="E115" s="31">
        <f t="shared" si="23"/>
        <v>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SUM(Julio!$H116:$AL116)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0.0</v>
      </c>
      <c r="D117" s="33">
        <f>SUM(Julio!$H117:$AL117)</f>
        <v>0</v>
      </c>
      <c r="E117" s="33">
        <f t="shared" si="24"/>
        <v>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SUM(Julio!$H118:$AL118)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SUM(Julio!$H119:$AL119)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SUM(Julio!$H120:$AL120)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SUM(Julio!$H121:$AL121)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SUM(Julio!$H122:$AL122)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SUM(Julio!$H123:$AL123)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SUM(Julio!$H124:$AL124)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9970.7</v>
      </c>
      <c r="D126" s="31">
        <f t="shared" si="25"/>
        <v>0</v>
      </c>
      <c r="E126" s="31">
        <f t="shared" si="25"/>
        <v>9970.7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6200.0</v>
      </c>
      <c r="D127" s="33">
        <f>SUM(Julio!$H127:$AL127)</f>
        <v>0</v>
      </c>
      <c r="E127" s="33">
        <f t="shared" ref="E127:E134" si="26">C127-D127</f>
        <v>6200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3170.7</v>
      </c>
      <c r="D128" s="33">
        <f>SUM(Julio!$H128:$AL128)</f>
        <v>0</v>
      </c>
      <c r="E128" s="33">
        <f t="shared" si="26"/>
        <v>3170.7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600.0</v>
      </c>
      <c r="D129" s="33">
        <f>SUM(Julio!$H129:$AL129)</f>
        <v>0</v>
      </c>
      <c r="E129" s="33">
        <f t="shared" si="26"/>
        <v>600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SUM(Julio!$H130:$AL130)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SUM(Julio!$H131:$AL131)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SUM(Julio!$H132:$AL132)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SUM(Julio!$H133:$AL133)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SUM(Julio!$H134:$AL134)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0</v>
      </c>
      <c r="D136" s="31">
        <f t="shared" si="27"/>
        <v>2500</v>
      </c>
      <c r="E136" s="31">
        <f t="shared" si="27"/>
        <v>-2500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SUM(Julio!$H137:$AL137)</f>
        <v>2500</v>
      </c>
      <c r="E137" s="33">
        <f t="shared" ref="E137:E144" si="28">C137-D137</f>
        <v>-2500</v>
      </c>
      <c r="F137" s="34"/>
      <c r="H137" s="72"/>
      <c r="I137" s="72"/>
      <c r="J137" s="72"/>
      <c r="K137" s="72"/>
      <c r="L137" s="72"/>
      <c r="M137" s="72">
        <v>2500.0</v>
      </c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SUM(Julio!$H138:$AL138)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0.0</v>
      </c>
      <c r="D139" s="33">
        <f>SUM(Julio!$H139:$AL139)</f>
        <v>0</v>
      </c>
      <c r="E139" s="33">
        <f t="shared" si="28"/>
        <v>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0.0</v>
      </c>
      <c r="D140" s="33">
        <f>SUM(Julio!$H140:$AL140)</f>
        <v>0</v>
      </c>
      <c r="E140" s="33">
        <f t="shared" si="28"/>
        <v>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SUM(Julio!$H141:$AL141)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SUM(Julio!$H142:$AL142)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SUM(Julio!$H143:$AL143)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SUM(Julio!$H144:$AL144)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0</v>
      </c>
      <c r="D146" s="31">
        <f t="shared" si="29"/>
        <v>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0.0</v>
      </c>
      <c r="D147" s="33">
        <f>SUM(Julio!$H147:$AL147)</f>
        <v>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SUM(Julio!$H148:$AL148)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SUM(Julio!$H149:$AL149)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SUM(Julio!$H150:$AL150)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SUM(Julio!$H151:$AL151)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SUM(Julio!$H152:$AL152)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SUM(Julio!$H153:$AL153)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SUM(Julio!$H154:$AL154)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SUM(Julio!$H155:$AL155)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SUM(Julio!$H156:$AL156)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SUM(Julio!$H159:$AL159)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SUM(Julio!$H160:$AL160)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SUM(Julio!$H161:$AL161)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SUM(Julio!$H162:$AL162)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SUM(Julio!$H163:$AL163)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SUM(Julio!$H164:$AL164)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SUM(Julio!$H165:$AL165)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SUM(Julio!$H166:$AL166)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9970.7</v>
      </c>
      <c r="D169" s="47">
        <f t="shared" si="33"/>
        <v>12964</v>
      </c>
      <c r="E169" s="47">
        <f t="shared" si="33"/>
        <v>-2993.3</v>
      </c>
      <c r="F169" s="45"/>
      <c r="G169" s="45"/>
      <c r="H169" s="76">
        <f t="shared" ref="H169:AL169" si="34">SUM(H28:H156)</f>
        <v>7375</v>
      </c>
      <c r="I169" s="76">
        <f t="shared" si="34"/>
        <v>370</v>
      </c>
      <c r="J169" s="76">
        <f t="shared" si="34"/>
        <v>1448</v>
      </c>
      <c r="K169" s="76">
        <f t="shared" si="34"/>
        <v>0</v>
      </c>
      <c r="L169" s="76">
        <f t="shared" si="34"/>
        <v>199</v>
      </c>
      <c r="M169" s="76">
        <f t="shared" si="34"/>
        <v>2800</v>
      </c>
      <c r="N169" s="76">
        <f t="shared" si="34"/>
        <v>0</v>
      </c>
      <c r="O169" s="76">
        <f t="shared" si="34"/>
        <v>500</v>
      </c>
      <c r="P169" s="76">
        <f t="shared" si="34"/>
        <v>0</v>
      </c>
      <c r="Q169" s="76">
        <f t="shared" si="34"/>
        <v>0</v>
      </c>
      <c r="R169" s="76">
        <f t="shared" si="34"/>
        <v>0</v>
      </c>
      <c r="S169" s="76">
        <f t="shared" si="34"/>
        <v>0</v>
      </c>
      <c r="T169" s="76">
        <f t="shared" si="34"/>
        <v>0</v>
      </c>
      <c r="U169" s="76">
        <f t="shared" si="34"/>
        <v>0</v>
      </c>
      <c r="V169" s="76">
        <f t="shared" si="34"/>
        <v>0</v>
      </c>
      <c r="W169" s="76">
        <f t="shared" si="34"/>
        <v>0</v>
      </c>
      <c r="X169" s="76">
        <f t="shared" si="34"/>
        <v>0</v>
      </c>
      <c r="Y169" s="76">
        <f t="shared" si="34"/>
        <v>0</v>
      </c>
      <c r="Z169" s="76">
        <f t="shared" si="34"/>
        <v>0</v>
      </c>
      <c r="AA169" s="76">
        <f t="shared" si="34"/>
        <v>0</v>
      </c>
      <c r="AB169" s="76">
        <f t="shared" si="34"/>
        <v>272</v>
      </c>
      <c r="AC169" s="76">
        <f t="shared" si="34"/>
        <v>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9970.7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80">
        <f>E177-E178</f>
        <v>-9970.7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12964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-12964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3264</v>
      </c>
    </row>
    <row r="192" ht="19.5" customHeight="1">
      <c r="B192" s="12"/>
      <c r="C192" s="64"/>
      <c r="D192" s="65" t="str">
        <f>B37</f>
        <v>SALUD</v>
      </c>
      <c r="E192" s="66">
        <f>D37</f>
        <v>0</v>
      </c>
    </row>
    <row r="193" ht="19.5" customHeight="1">
      <c r="B193" s="12"/>
      <c r="C193" s="64"/>
      <c r="D193" s="65" t="str">
        <f>B45</f>
        <v>CASA</v>
      </c>
      <c r="E193" s="66">
        <f>D45</f>
        <v>7200</v>
      </c>
    </row>
    <row r="194" ht="19.5" customHeight="1">
      <c r="B194" s="12"/>
      <c r="C194" s="64"/>
      <c r="D194" s="65" t="str">
        <f>B58</f>
        <v>ROPA Y CALZADO</v>
      </c>
      <c r="E194" s="66">
        <f>D58</f>
        <v>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0</v>
      </c>
    </row>
    <row r="197" ht="19.5" customHeight="1">
      <c r="B197" s="12"/>
      <c r="C197" s="64"/>
      <c r="D197" s="65" t="str">
        <f>B88</f>
        <v>HIGIENE</v>
      </c>
      <c r="E197" s="66">
        <f>D88</f>
        <v>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0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2500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44409.0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41720.4</v>
      </c>
      <c r="D9" s="29">
        <f t="shared" si="1"/>
        <v>41720.4</v>
      </c>
      <c r="E9" s="29">
        <f t="shared" si="1"/>
        <v>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41720.4</v>
      </c>
      <c r="D11" s="31">
        <f t="shared" si="2"/>
        <v>41720.4</v>
      </c>
      <c r="E11" s="31">
        <f t="shared" si="2"/>
        <v>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41720.4</v>
      </c>
      <c r="D12" s="70">
        <f>SUM(Agosto!$H12:$AL12)</f>
        <v>41720.4</v>
      </c>
      <c r="E12" s="33">
        <f t="shared" ref="E12:E20" si="3">D12-C12</f>
        <v>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>
        <v>20860.2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>
        <v>20860.2</v>
      </c>
    </row>
    <row r="13">
      <c r="B13" s="9" t="str">
        <f>Categorias!B13</f>
        <v>Aguinaldo</v>
      </c>
      <c r="C13" s="73">
        <v>0.0</v>
      </c>
      <c r="D13" s="70">
        <f>SUM(Agosto!$H13:$AL13)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SUM(Agosto!$H14:$AL14)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SUM(Agosto!$H15:$AL15)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SUM(Agosto!$H16:$AL16)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SUM(Agosto!$H17:$AL17)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SUM(Agosto!$H18:$AL18)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SUM(Agosto!$H19:$AL19)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SUM(Agosto!$H20:$AL20)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28450</v>
      </c>
      <c r="D26" s="38">
        <f t="shared" si="4"/>
        <v>31090</v>
      </c>
      <c r="E26" s="38">
        <f t="shared" si="4"/>
        <v>-2640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3934</v>
      </c>
      <c r="E28" s="31">
        <f t="shared" si="5"/>
        <v>-934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3000.0</v>
      </c>
      <c r="D29" s="33">
        <f>SUM(Agosto!$H29:$AL29)</f>
        <v>3422</v>
      </c>
      <c r="E29" s="33">
        <f t="shared" ref="E29:E35" si="6">C29-D29</f>
        <v>-422</v>
      </c>
      <c r="F29" s="34"/>
      <c r="H29" s="72"/>
      <c r="I29" s="72"/>
      <c r="J29" s="72"/>
      <c r="K29" s="72"/>
      <c r="L29" s="72"/>
      <c r="M29" s="72">
        <v>600.0</v>
      </c>
      <c r="N29" s="72"/>
      <c r="O29" s="72"/>
      <c r="P29" s="72"/>
      <c r="Q29" s="72">
        <v>250.0</v>
      </c>
      <c r="R29" s="72">
        <v>120.0</v>
      </c>
      <c r="S29" s="72">
        <v>297.0</v>
      </c>
      <c r="T29" s="72">
        <v>186.0</v>
      </c>
      <c r="U29" s="72">
        <v>634.0</v>
      </c>
      <c r="V29" s="72"/>
      <c r="W29" s="72"/>
      <c r="X29" s="72"/>
      <c r="Y29" s="72">
        <v>900.0</v>
      </c>
      <c r="Z29" s="72"/>
      <c r="AA29" s="72">
        <v>45.0</v>
      </c>
      <c r="AB29" s="72"/>
      <c r="AC29" s="72"/>
      <c r="AD29" s="72"/>
      <c r="AE29" s="72">
        <v>89.0</v>
      </c>
      <c r="AF29" s="72">
        <v>89.0</v>
      </c>
      <c r="AG29" s="72"/>
      <c r="AH29" s="72"/>
      <c r="AI29" s="72"/>
      <c r="AJ29" s="72"/>
      <c r="AK29" s="72"/>
      <c r="AL29" s="72">
        <v>212.0</v>
      </c>
    </row>
    <row r="30" ht="15.75" customHeight="1">
      <c r="B30" s="9" t="str">
        <f>Categorias!B26</f>
        <v>Comida Carlos</v>
      </c>
      <c r="C30" s="73">
        <v>0.0</v>
      </c>
      <c r="D30" s="33">
        <f>SUM(Agosto!$H30:$AL30)</f>
        <v>512</v>
      </c>
      <c r="E30" s="33">
        <f t="shared" si="6"/>
        <v>-512</v>
      </c>
      <c r="F30" s="34"/>
      <c r="H30" s="72"/>
      <c r="I30" s="72"/>
      <c r="J30" s="72"/>
      <c r="K30" s="72"/>
      <c r="L30" s="72"/>
      <c r="M30" s="72"/>
      <c r="N30" s="72"/>
      <c r="O30" s="72"/>
      <c r="P30" s="72">
        <v>127.0</v>
      </c>
      <c r="Q30" s="72"/>
      <c r="R30" s="72"/>
      <c r="S30" s="72">
        <v>200.0</v>
      </c>
      <c r="T30" s="72"/>
      <c r="U30" s="72">
        <v>138.0</v>
      </c>
      <c r="V30" s="72"/>
      <c r="W30" s="72"/>
      <c r="X30" s="72"/>
      <c r="Y30" s="72">
        <v>47.0</v>
      </c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SUM(Agosto!$H31:$AL31)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SUM(Agosto!$H32:$AL32)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SUM(Agosto!$H33:$AL33)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SUM(Agosto!$H34:$AL34)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SUM(Agosto!$H35:$AL35)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1200</v>
      </c>
      <c r="D37" s="31">
        <f t="shared" si="7"/>
        <v>1007</v>
      </c>
      <c r="E37" s="31">
        <f t="shared" si="7"/>
        <v>193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SUM(Agosto!$H38:$AL38)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SUM(Agosto!$H39:$AL39)</f>
        <v>1007</v>
      </c>
      <c r="E39" s="33">
        <f t="shared" si="8"/>
        <v>-1007</v>
      </c>
      <c r="F39" s="34"/>
      <c r="H39" s="72"/>
      <c r="I39" s="72"/>
      <c r="J39" s="72"/>
      <c r="K39" s="72"/>
      <c r="L39" s="72"/>
      <c r="M39" s="72">
        <v>300.0</v>
      </c>
      <c r="N39" s="72"/>
      <c r="O39" s="72"/>
      <c r="P39" s="72"/>
      <c r="Q39" s="72"/>
      <c r="R39" s="72"/>
      <c r="S39" s="72"/>
      <c r="T39" s="72"/>
      <c r="U39" s="72">
        <v>83.0</v>
      </c>
      <c r="V39" s="72">
        <v>396.0</v>
      </c>
      <c r="W39" s="72"/>
      <c r="X39" s="72"/>
      <c r="Y39" s="72"/>
      <c r="Z39" s="72"/>
      <c r="AA39" s="72"/>
      <c r="AB39" s="72"/>
      <c r="AC39" s="72"/>
      <c r="AD39" s="72"/>
      <c r="AE39" s="72"/>
      <c r="AF39" s="72">
        <v>228.0</v>
      </c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600.0</v>
      </c>
      <c r="D40" s="33">
        <f>SUM(Agosto!$H40:$AL40)</f>
        <v>0</v>
      </c>
      <c r="E40" s="33">
        <f t="shared" si="8"/>
        <v>600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600.0</v>
      </c>
      <c r="D41" s="33">
        <f>SUM(Agosto!$H41:$AL41)</f>
        <v>0</v>
      </c>
      <c r="E41" s="33">
        <f t="shared" si="8"/>
        <v>600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SUM(Agosto!$H42:$AL42)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SUM(Agosto!$H43:$AL43)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7300</v>
      </c>
      <c r="D45" s="31">
        <f t="shared" si="9"/>
        <v>8082</v>
      </c>
      <c r="E45" s="31">
        <f t="shared" si="9"/>
        <v>-782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SUM(Agosto!$H46:$AL46)</f>
        <v>1042</v>
      </c>
      <c r="E46" s="33">
        <f t="shared" ref="E46:E56" si="10">C46-D46</f>
        <v>-1042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>
        <v>1042.0</v>
      </c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SUM(Agosto!$H47:$AL47)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SUM(Agosto!$H48:$AL48)</f>
        <v>0</v>
      </c>
      <c r="E48" s="33">
        <f t="shared" si="10"/>
        <v>300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SUM(Agosto!$H49:$AL49)</f>
        <v>40</v>
      </c>
      <c r="E49" s="33">
        <f t="shared" si="10"/>
        <v>-40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>
        <v>40.0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SUM(Agosto!$H50:$AL50)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SUM(Agosto!$H51:$AL51)</f>
        <v>5000</v>
      </c>
      <c r="E51" s="33">
        <f t="shared" si="10"/>
        <v>0</v>
      </c>
      <c r="F51" s="34"/>
      <c r="H51" s="72">
        <v>5000.0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SUM(Agosto!$H52:$AL52)</f>
        <v>2000</v>
      </c>
      <c r="E52" s="33">
        <f t="shared" si="10"/>
        <v>0</v>
      </c>
      <c r="F52" s="34"/>
      <c r="H52" s="72">
        <v>2000.0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SUM(Agosto!$H53:$AL53)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SUM(Agosto!$H54:$AL54)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SUM(Agosto!$H55:$AL55)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SUM(Agosto!$H56:$AL56)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1979</v>
      </c>
      <c r="E58" s="31">
        <f t="shared" si="11"/>
        <v>-1979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SUM(Agosto!$H59:$AL59)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SUM(Agosto!$H60:$AL60)</f>
        <v>1000</v>
      </c>
      <c r="E60" s="33">
        <f t="shared" si="12"/>
        <v>-1000</v>
      </c>
      <c r="F60" s="34"/>
      <c r="H60" s="72"/>
      <c r="I60" s="72"/>
      <c r="J60" s="72"/>
      <c r="K60" s="72"/>
      <c r="L60" s="72"/>
      <c r="M60" s="72"/>
      <c r="N60" s="72">
        <v>1000.0</v>
      </c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SUM(Agosto!$H61:$AL61)</f>
        <v>979</v>
      </c>
      <c r="E61" s="33">
        <f t="shared" si="12"/>
        <v>-979</v>
      </c>
      <c r="F61" s="34"/>
      <c r="H61" s="72"/>
      <c r="I61" s="72"/>
      <c r="J61" s="72"/>
      <c r="K61" s="72"/>
      <c r="L61" s="72"/>
      <c r="M61" s="72"/>
      <c r="N61" s="72">
        <v>150.0</v>
      </c>
      <c r="O61" s="72"/>
      <c r="P61" s="72"/>
      <c r="Q61" s="72"/>
      <c r="R61" s="72"/>
      <c r="S61" s="72"/>
      <c r="T61" s="72"/>
      <c r="U61" s="72"/>
      <c r="V61" s="72"/>
      <c r="W61" s="72"/>
      <c r="X61" s="72">
        <v>829.0</v>
      </c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SUM(Agosto!$H62:$AL62)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SUM(Agosto!$H63:$AL63)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SUM(Agosto!$H64:$AL64)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SUM(Agosto!$H65:$AL65)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SUM(Agosto!$H66:$AL66)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750</v>
      </c>
      <c r="D68" s="31">
        <f t="shared" si="13"/>
        <v>1369</v>
      </c>
      <c r="E68" s="31">
        <f t="shared" si="13"/>
        <v>-619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SUM(Agosto!$H69:$AL69)</f>
        <v>250</v>
      </c>
      <c r="E69" s="33">
        <f t="shared" ref="E69:E75" si="14">C69-D69</f>
        <v>50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>
        <v>250.0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SUM(Agosto!$H70:$AL70)</f>
        <v>300</v>
      </c>
      <c r="E70" s="33">
        <f t="shared" si="14"/>
        <v>-50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>
        <v>300.0</v>
      </c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SUM(Agosto!$H71:$AL71)</f>
        <v>0</v>
      </c>
      <c r="E71" s="33">
        <f t="shared" si="14"/>
        <v>200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SUM(Agosto!$H72:$AL72)</f>
        <v>600</v>
      </c>
      <c r="E72" s="33">
        <f t="shared" si="14"/>
        <v>-600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>
        <v>600.0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SUM(Agosto!$H73:$AL73)</f>
        <v>219</v>
      </c>
      <c r="E73" s="33">
        <f t="shared" si="14"/>
        <v>-219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>
        <v>219.0</v>
      </c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SUM(Agosto!$H74:$AL74)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SUM(Agosto!$H75:$AL75)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3500</v>
      </c>
      <c r="D77" s="31">
        <f t="shared" si="15"/>
        <v>55</v>
      </c>
      <c r="E77" s="31">
        <f t="shared" si="15"/>
        <v>3445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SUM(Agosto!$H78:$AL78)</f>
        <v>0</v>
      </c>
      <c r="E78" s="33">
        <f t="shared" ref="E78:E86" si="16">C78-D78</f>
        <v>2000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SUM(Agosto!$H79:$AL79)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SUM(Agosto!$H80:$AL80)</f>
        <v>55</v>
      </c>
      <c r="E80" s="33">
        <f t="shared" si="16"/>
        <v>1445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>
        <v>55.0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SUM(Agosto!$H81:$AL81)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SUM(Agosto!$H82:$AL82)</f>
        <v>0</v>
      </c>
      <c r="E82" s="33">
        <f t="shared" si="16"/>
        <v>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SUM(Agosto!$H83:$AL83)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SUM(Agosto!$H84:$AL84)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SUM(Agosto!$H85:$AL85)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SUM(Agosto!$H86:$AL86)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200</v>
      </c>
      <c r="D88" s="31">
        <f t="shared" si="17"/>
        <v>210</v>
      </c>
      <c r="E88" s="31">
        <f t="shared" si="17"/>
        <v>-10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SUM(Agosto!$H89:$AL89)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200.0</v>
      </c>
      <c r="D90" s="33">
        <f>SUM(Agosto!$H90:$AL90)</f>
        <v>210</v>
      </c>
      <c r="E90" s="33">
        <f t="shared" si="18"/>
        <v>-10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>
        <v>210.0</v>
      </c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SUM(Agosto!$H91:$AL91)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SUM(Agosto!$H92:$AL92)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SUM(Agosto!$H93:$AL93)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SUM(Agosto!$H94:$AL94)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SUM(Agosto!$H95:$AL95)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855</v>
      </c>
      <c r="E97" s="31">
        <f t="shared" si="19"/>
        <v>-855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SUM(Agosto!$H98:$AL98)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SUM(Agosto!$H99:$AL99)</f>
        <v>855</v>
      </c>
      <c r="E99" s="33">
        <f t="shared" si="20"/>
        <v>-855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>
        <v>180.0</v>
      </c>
      <c r="R99" s="72">
        <v>675.0</v>
      </c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SUM(Agosto!$H100:$AL100)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SUM(Agosto!$H101:$AL101)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SUM(Agosto!$H102:$AL102)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SUM(Agosto!$H103:$AL103)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SUM(Agosto!$H104:$AL104)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SUM(Agosto!$H105:$AL105)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SUM(Agosto!$H108:$AL108)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SUM(Agosto!$H109:$AL109)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SUM(Agosto!$H110:$AL110)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SUM(Agosto!$H111:$AL111)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SUM(Agosto!$H112:$AL112)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SUM(Agosto!$H113:$AL113)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1300</v>
      </c>
      <c r="D115" s="31">
        <f t="shared" si="23"/>
        <v>1300</v>
      </c>
      <c r="E115" s="31">
        <f t="shared" si="23"/>
        <v>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SUM(Agosto!$H116:$AL116)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1300.0</v>
      </c>
      <c r="D117" s="33">
        <f>SUM(Agosto!$H117:$AL117)</f>
        <v>1300</v>
      </c>
      <c r="E117" s="33">
        <f t="shared" si="24"/>
        <v>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>
        <v>1300.0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SUM(Agosto!$H118:$AL118)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SUM(Agosto!$H119:$AL119)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SUM(Agosto!$H120:$AL120)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SUM(Agosto!$H121:$AL121)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SUM(Agosto!$H122:$AL122)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SUM(Agosto!$H123:$AL123)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SUM(Agosto!$H124:$AL124)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7800</v>
      </c>
      <c r="D126" s="31">
        <f t="shared" si="25"/>
        <v>7800</v>
      </c>
      <c r="E126" s="31">
        <f t="shared" si="25"/>
        <v>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6400.0</v>
      </c>
      <c r="D127" s="33">
        <f>SUM(Agosto!$H127:$AL127)</f>
        <v>6400</v>
      </c>
      <c r="E127" s="33">
        <f t="shared" ref="E127:E134" si="26">C127-D127</f>
        <v>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>
        <v>3200.0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>
        <v>3200.0</v>
      </c>
    </row>
    <row r="128" ht="15.75" customHeight="1">
      <c r="B128" s="9" t="str">
        <f>Categorias!B126</f>
        <v>Anualidad Platinum</v>
      </c>
      <c r="C128" s="73">
        <v>700.0</v>
      </c>
      <c r="D128" s="33">
        <f>SUM(Agosto!$H128:$AL128)</f>
        <v>700</v>
      </c>
      <c r="E128" s="33">
        <f t="shared" si="26"/>
        <v>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>
        <v>700.0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SUM(Agosto!$H129:$AL129)</f>
        <v>700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>
        <v>700.0</v>
      </c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SUM(Agosto!$H130:$AL130)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SUM(Agosto!$H131:$AL131)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SUM(Agosto!$H132:$AL132)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SUM(Agosto!$H133:$AL133)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SUM(Agosto!$H134:$AL134)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1400</v>
      </c>
      <c r="D136" s="31">
        <f t="shared" si="27"/>
        <v>2499</v>
      </c>
      <c r="E136" s="31">
        <f t="shared" si="27"/>
        <v>-1099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SUM(Agosto!$H137:$AL137)</f>
        <v>1999</v>
      </c>
      <c r="E137" s="33">
        <f t="shared" ref="E137:E144" si="28">C137-D137</f>
        <v>-1999</v>
      </c>
      <c r="F137" s="34"/>
      <c r="H137" s="72"/>
      <c r="I137" s="72"/>
      <c r="J137" s="72"/>
      <c r="K137" s="72"/>
      <c r="L137" s="72"/>
      <c r="M137" s="72"/>
      <c r="N137" s="72">
        <v>1999.0</v>
      </c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SUM(Agosto!$H138:$AL138)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200.0</v>
      </c>
      <c r="D139" s="33">
        <f>SUM(Agosto!$H139:$AL139)</f>
        <v>0</v>
      </c>
      <c r="E139" s="33">
        <f t="shared" si="28"/>
        <v>200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200.0</v>
      </c>
      <c r="D140" s="33">
        <f>SUM(Agosto!$H140:$AL140)</f>
        <v>0</v>
      </c>
      <c r="E140" s="33">
        <f t="shared" si="28"/>
        <v>200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1000.0</v>
      </c>
      <c r="D141" s="33">
        <f>SUM(Agosto!$H141:$AL141)</f>
        <v>500</v>
      </c>
      <c r="E141" s="33">
        <f t="shared" si="28"/>
        <v>500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>
        <v>500.0</v>
      </c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SUM(Agosto!$H142:$AL142)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SUM(Agosto!$H143:$AL143)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SUM(Agosto!$H144:$AL144)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2000</v>
      </c>
      <c r="D146" s="31">
        <f t="shared" si="29"/>
        <v>2000</v>
      </c>
      <c r="E146" s="31">
        <f t="shared" si="29"/>
        <v>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2000.0</v>
      </c>
      <c r="D147" s="33">
        <f>SUM(Agosto!$H147:$AL147)</f>
        <v>2000</v>
      </c>
      <c r="E147" s="33">
        <f t="shared" ref="E147:E156" si="30">C147-D147</f>
        <v>0</v>
      </c>
      <c r="F147" s="34"/>
      <c r="H147" s="72"/>
      <c r="I147" s="72"/>
      <c r="J147" s="72"/>
      <c r="K147" s="72"/>
      <c r="L147" s="72"/>
      <c r="M147" s="72"/>
      <c r="N147" s="72"/>
      <c r="O147" s="72">
        <v>2000.0</v>
      </c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SUM(Agosto!$H148:$AL148)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SUM(Agosto!$H149:$AL149)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SUM(Agosto!$H150:$AL150)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SUM(Agosto!$H151:$AL151)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SUM(Agosto!$H152:$AL152)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SUM(Agosto!$H153:$AL153)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SUM(Agosto!$H154:$AL154)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SUM(Agosto!$H155:$AL155)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SUM(Agosto!$H156:$AL156)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SUM(Agosto!$H159:$AL159)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SUM(Agosto!$H160:$AL160)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SUM(Agosto!$H161:$AL161)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SUM(Agosto!$H162:$AL162)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SUM(Agosto!$H163:$AL163)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SUM(Agosto!$H164:$AL164)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SUM(Agosto!$H165:$AL165)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SUM(Agosto!$H166:$AL166)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28450</v>
      </c>
      <c r="D169" s="47">
        <f t="shared" si="33"/>
        <v>31090</v>
      </c>
      <c r="E169" s="47">
        <f t="shared" si="33"/>
        <v>-2640</v>
      </c>
      <c r="F169" s="45"/>
      <c r="G169" s="45"/>
      <c r="H169" s="76">
        <f t="shared" ref="H169:AL169" si="34">SUM(H28:H156)</f>
        <v>7000</v>
      </c>
      <c r="I169" s="76">
        <f t="shared" si="34"/>
        <v>0</v>
      </c>
      <c r="J169" s="76">
        <f t="shared" si="34"/>
        <v>0</v>
      </c>
      <c r="K169" s="76">
        <f t="shared" si="34"/>
        <v>0</v>
      </c>
      <c r="L169" s="76">
        <f t="shared" si="34"/>
        <v>0</v>
      </c>
      <c r="M169" s="76">
        <f t="shared" si="34"/>
        <v>900</v>
      </c>
      <c r="N169" s="76">
        <f t="shared" si="34"/>
        <v>3149</v>
      </c>
      <c r="O169" s="76">
        <f t="shared" si="34"/>
        <v>2000</v>
      </c>
      <c r="P169" s="76">
        <f t="shared" si="34"/>
        <v>127</v>
      </c>
      <c r="Q169" s="76">
        <f t="shared" si="34"/>
        <v>930</v>
      </c>
      <c r="R169" s="76">
        <f t="shared" si="34"/>
        <v>795</v>
      </c>
      <c r="S169" s="76">
        <f t="shared" si="34"/>
        <v>497</v>
      </c>
      <c r="T169" s="76">
        <f t="shared" si="34"/>
        <v>186</v>
      </c>
      <c r="U169" s="76">
        <f t="shared" si="34"/>
        <v>3306</v>
      </c>
      <c r="V169" s="76">
        <f t="shared" si="34"/>
        <v>4996</v>
      </c>
      <c r="W169" s="76">
        <f t="shared" si="34"/>
        <v>0</v>
      </c>
      <c r="X169" s="76">
        <f t="shared" si="34"/>
        <v>1039</v>
      </c>
      <c r="Y169" s="76">
        <f t="shared" si="34"/>
        <v>1002</v>
      </c>
      <c r="Z169" s="76">
        <f t="shared" si="34"/>
        <v>0</v>
      </c>
      <c r="AA169" s="76">
        <f t="shared" si="34"/>
        <v>45</v>
      </c>
      <c r="AB169" s="76">
        <f t="shared" si="34"/>
        <v>1300</v>
      </c>
      <c r="AC169" s="76">
        <f t="shared" si="34"/>
        <v>0</v>
      </c>
      <c r="AD169" s="76">
        <f t="shared" si="34"/>
        <v>0</v>
      </c>
      <c r="AE169" s="76">
        <f t="shared" si="34"/>
        <v>89</v>
      </c>
      <c r="AF169" s="76">
        <f t="shared" si="34"/>
        <v>317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3412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41720.4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28450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13270.4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41720.4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31090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10630.4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3934</v>
      </c>
    </row>
    <row r="192" ht="19.5" customHeight="1">
      <c r="B192" s="12"/>
      <c r="C192" s="64"/>
      <c r="D192" s="65" t="str">
        <f>B37</f>
        <v>SALUD</v>
      </c>
      <c r="E192" s="66">
        <f>D37</f>
        <v>1007</v>
      </c>
    </row>
    <row r="193" ht="19.5" customHeight="1">
      <c r="B193" s="12"/>
      <c r="C193" s="64"/>
      <c r="D193" s="65" t="str">
        <f>B45</f>
        <v>CASA</v>
      </c>
      <c r="E193" s="66">
        <f>D45</f>
        <v>8082</v>
      </c>
    </row>
    <row r="194" ht="19.5" customHeight="1">
      <c r="B194" s="12"/>
      <c r="C194" s="64"/>
      <c r="D194" s="65" t="str">
        <f>B58</f>
        <v>ROPA Y CALZADO</v>
      </c>
      <c r="E194" s="66">
        <f>D58</f>
        <v>1979</v>
      </c>
    </row>
    <row r="195" ht="19.5" customHeight="1">
      <c r="B195" s="12"/>
      <c r="C195" s="64"/>
      <c r="D195" s="65" t="str">
        <f>B68</f>
        <v>COMUNICACIÓN</v>
      </c>
      <c r="E195" s="66">
        <f>D68</f>
        <v>1369</v>
      </c>
    </row>
    <row r="196" ht="19.5" customHeight="1">
      <c r="B196" s="12"/>
      <c r="C196" s="64"/>
      <c r="D196" s="65" t="str">
        <f>B77</f>
        <v>TRANSPORTE</v>
      </c>
      <c r="E196" s="66">
        <f>D77</f>
        <v>55</v>
      </c>
    </row>
    <row r="197" ht="19.5" customHeight="1">
      <c r="B197" s="12"/>
      <c r="C197" s="64"/>
      <c r="D197" s="65" t="str">
        <f>B88</f>
        <v>HIGIENE</v>
      </c>
      <c r="E197" s="66">
        <f>D88</f>
        <v>210</v>
      </c>
    </row>
    <row r="198" ht="19.5" customHeight="1">
      <c r="B198" s="12"/>
      <c r="C198" s="64"/>
      <c r="D198" s="65" t="str">
        <f>B97</f>
        <v>NIÑOS</v>
      </c>
      <c r="E198" s="66">
        <f>D97</f>
        <v>855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1300</v>
      </c>
    </row>
    <row r="201" ht="19.5" customHeight="1">
      <c r="B201" s="12"/>
      <c r="C201" s="64"/>
      <c r="D201" s="65" t="str">
        <f>B126</f>
        <v>DEUDAS</v>
      </c>
      <c r="E201" s="66">
        <f>D126</f>
        <v>7800</v>
      </c>
    </row>
    <row r="202" ht="19.5" customHeight="1">
      <c r="B202" s="12"/>
      <c r="C202" s="64"/>
      <c r="D202" s="65" t="str">
        <f>B136</f>
        <v>OTROS GASTOS</v>
      </c>
      <c r="E202" s="66">
        <f>D136</f>
        <v>2499</v>
      </c>
    </row>
    <row r="203" ht="19.5" customHeight="1">
      <c r="B203" s="12"/>
      <c r="D203" s="65" t="str">
        <f>B146</f>
        <v>AHORROS</v>
      </c>
      <c r="E203" s="66">
        <f>D146</f>
        <v>2000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44440.0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41720.4</v>
      </c>
      <c r="D9" s="29">
        <f t="shared" si="1"/>
        <v>0</v>
      </c>
      <c r="E9" s="29">
        <f t="shared" si="1"/>
        <v>-41720.4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41720.4</v>
      </c>
      <c r="D11" s="31">
        <f t="shared" si="2"/>
        <v>0</v>
      </c>
      <c r="E11" s="31">
        <f t="shared" si="2"/>
        <v>-41720.4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41720.4</v>
      </c>
      <c r="D12" s="70">
        <f>SUM(Septiembre!$H12:$AL12)</f>
        <v>0</v>
      </c>
      <c r="E12" s="33">
        <f t="shared" ref="E12:E20" si="3">D12-C12</f>
        <v>-41720.4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73">
        <v>0.0</v>
      </c>
      <c r="D13" s="70">
        <f>SUM(Septiembre!$H13:$AL13)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SUM(Septiembre!$H14:$AL14)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SUM(Septiembre!$H15:$AL15)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SUM(Septiembre!$H16:$AL16)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SUM(Septiembre!$H17:$AL17)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SUM(Septiembre!$H18:$AL18)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SUM(Septiembre!$H19:$AL19)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SUM(Septiembre!$H20:$AL20)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33480</v>
      </c>
      <c r="D26" s="38">
        <f t="shared" si="4"/>
        <v>29861.25</v>
      </c>
      <c r="E26" s="38">
        <f t="shared" si="4"/>
        <v>3618.75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3494.25</v>
      </c>
      <c r="E28" s="31">
        <f t="shared" si="5"/>
        <v>-494.25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3000.0</v>
      </c>
      <c r="D29" s="33">
        <f>SUM(Septiembre!$H29:$AL29)</f>
        <v>3117.25</v>
      </c>
      <c r="E29" s="33">
        <f t="shared" ref="E29:E35" si="6">C29-D29</f>
        <v>-117.25</v>
      </c>
      <c r="F29" s="34"/>
      <c r="H29" s="72"/>
      <c r="I29" s="72"/>
      <c r="J29" s="72"/>
      <c r="K29" s="72">
        <v>720.25</v>
      </c>
      <c r="L29" s="72"/>
      <c r="M29" s="72">
        <v>125.0</v>
      </c>
      <c r="N29" s="72"/>
      <c r="O29" s="72">
        <v>280.0</v>
      </c>
      <c r="P29" s="72">
        <v>50.0</v>
      </c>
      <c r="Q29" s="72">
        <v>75.0</v>
      </c>
      <c r="R29" s="72">
        <v>350.0</v>
      </c>
      <c r="S29" s="72">
        <v>117.0</v>
      </c>
      <c r="T29" s="72">
        <v>260.0</v>
      </c>
      <c r="U29" s="72"/>
      <c r="V29" s="72">
        <v>160.0</v>
      </c>
      <c r="W29" s="72"/>
      <c r="X29" s="72">
        <v>580.0</v>
      </c>
      <c r="Y29" s="72">
        <v>400.0</v>
      </c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SUM(Septiembre!$H30:$AL30)</f>
        <v>377</v>
      </c>
      <c r="E30" s="33">
        <f t="shared" si="6"/>
        <v>-377</v>
      </c>
      <c r="F30" s="34"/>
      <c r="H30" s="72"/>
      <c r="I30" s="72"/>
      <c r="J30" s="72"/>
      <c r="K30" s="72"/>
      <c r="L30" s="72">
        <v>85.0</v>
      </c>
      <c r="M30" s="72"/>
      <c r="N30" s="72"/>
      <c r="O30" s="72"/>
      <c r="P30" s="72"/>
      <c r="Q30" s="72"/>
      <c r="R30" s="72"/>
      <c r="S30" s="72"/>
      <c r="T30" s="72">
        <v>73.0</v>
      </c>
      <c r="U30" s="72"/>
      <c r="V30" s="72"/>
      <c r="W30" s="72"/>
      <c r="X30" s="72"/>
      <c r="Y30" s="72">
        <v>109.0</v>
      </c>
      <c r="Z30" s="72">
        <v>110.0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SUM(Septiembre!$H31:$AL31)</f>
        <v>0</v>
      </c>
      <c r="E31" s="33">
        <f t="shared" si="6"/>
        <v>0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SUM(Septiembre!$H32:$AL32)</f>
        <v>0</v>
      </c>
      <c r="E32" s="33">
        <f t="shared" si="6"/>
        <v>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SUM(Septiembre!$H33:$AL33)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SUM(Septiembre!$H34:$AL34)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SUM(Septiembre!$H35:$AL35)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1200</v>
      </c>
      <c r="D37" s="31">
        <f t="shared" si="7"/>
        <v>3370</v>
      </c>
      <c r="E37" s="31">
        <f t="shared" si="7"/>
        <v>-2170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SUM(Septiembre!$H38:$AL38)</f>
        <v>510</v>
      </c>
      <c r="E38" s="33">
        <f t="shared" ref="E38:E43" si="8">C38-D38</f>
        <v>-510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>
        <v>510.0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SUM(Septiembre!$H39:$AL39)</f>
        <v>2860</v>
      </c>
      <c r="E39" s="33">
        <f t="shared" si="8"/>
        <v>-2860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>
        <v>1100.0</v>
      </c>
      <c r="U39" s="72">
        <v>1600.0</v>
      </c>
      <c r="V39" s="72"/>
      <c r="W39" s="72"/>
      <c r="X39" s="72"/>
      <c r="Y39" s="72"/>
      <c r="Z39" s="72"/>
      <c r="AA39" s="72"/>
      <c r="AB39" s="72"/>
      <c r="AC39" s="72">
        <v>160.0</v>
      </c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600.0</v>
      </c>
      <c r="D40" s="33">
        <f>SUM(Septiembre!$H40:$AL40)</f>
        <v>0</v>
      </c>
      <c r="E40" s="33">
        <f t="shared" si="8"/>
        <v>600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600.0</v>
      </c>
      <c r="D41" s="33">
        <f>SUM(Septiembre!$H41:$AL41)</f>
        <v>0</v>
      </c>
      <c r="E41" s="33">
        <f t="shared" si="8"/>
        <v>600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SUM(Septiembre!$H42:$AL42)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SUM(Septiembre!$H43:$AL43)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8300</v>
      </c>
      <c r="D45" s="31">
        <f t="shared" si="9"/>
        <v>8168</v>
      </c>
      <c r="E45" s="31">
        <f t="shared" si="9"/>
        <v>132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SUM(Septiembre!$H46:$AL46)</f>
        <v>0</v>
      </c>
      <c r="E46" s="33">
        <f t="shared" ref="E46:E56" si="10">C46-D46</f>
        <v>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1000.0</v>
      </c>
      <c r="D47" s="33">
        <f>SUM(Septiembre!$H47:$AL47)</f>
        <v>953</v>
      </c>
      <c r="E47" s="33">
        <f t="shared" si="10"/>
        <v>47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>
        <v>953.0</v>
      </c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SUM(Septiembre!$H48:$AL48)</f>
        <v>215</v>
      </c>
      <c r="E48" s="33">
        <f t="shared" si="10"/>
        <v>85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>
        <v>215.0</v>
      </c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SUM(Septiembre!$H49:$AL49)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SUM(Septiembre!$H50:$AL50)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SUM(Septiembre!$H51:$AL51)</f>
        <v>5000</v>
      </c>
      <c r="E51" s="33">
        <f t="shared" si="10"/>
        <v>0</v>
      </c>
      <c r="F51" s="34"/>
      <c r="H51" s="72"/>
      <c r="I51" s="72">
        <v>5000.0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SUM(Septiembre!$H52:$AL52)</f>
        <v>2000</v>
      </c>
      <c r="E52" s="33">
        <f t="shared" si="10"/>
        <v>0</v>
      </c>
      <c r="F52" s="34"/>
      <c r="H52" s="72"/>
      <c r="I52" s="72">
        <v>2000.0</v>
      </c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SUM(Septiembre!$H53:$AL53)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SUM(Septiembre!$H54:$AL54)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SUM(Septiembre!$H55:$AL55)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SUM(Septiembre!$H56:$AL56)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2000</v>
      </c>
      <c r="D58" s="31">
        <f t="shared" si="11"/>
        <v>2313</v>
      </c>
      <c r="E58" s="31">
        <f t="shared" si="11"/>
        <v>-313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1000.0</v>
      </c>
      <c r="D59" s="33">
        <f>SUM(Septiembre!$H59:$AL59)</f>
        <v>1000</v>
      </c>
      <c r="E59" s="33">
        <f t="shared" ref="E59:E66" si="12">C59-D59</f>
        <v>0</v>
      </c>
      <c r="F59" s="34"/>
      <c r="H59" s="72"/>
      <c r="I59" s="72"/>
      <c r="J59" s="72"/>
      <c r="K59" s="72"/>
      <c r="L59" s="72">
        <v>1000.0</v>
      </c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1000.0</v>
      </c>
      <c r="D60" s="33">
        <f>SUM(Septiembre!$H60:$AL60)</f>
        <v>1313</v>
      </c>
      <c r="E60" s="33">
        <f t="shared" si="12"/>
        <v>-313</v>
      </c>
      <c r="F60" s="34"/>
      <c r="H60" s="72"/>
      <c r="I60" s="72"/>
      <c r="J60" s="72"/>
      <c r="K60" s="72">
        <v>100.0</v>
      </c>
      <c r="L60" s="72">
        <v>673.0</v>
      </c>
      <c r="M60" s="72"/>
      <c r="N60" s="72"/>
      <c r="O60" s="72"/>
      <c r="P60" s="72"/>
      <c r="Q60" s="72"/>
      <c r="R60" s="72"/>
      <c r="S60" s="72">
        <v>540.0</v>
      </c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SUM(Septiembre!$H61:$AL61)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SUM(Septiembre!$H62:$AL62)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SUM(Septiembre!$H63:$AL63)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SUM(Septiembre!$H64:$AL64)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SUM(Septiembre!$H65:$AL65)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SUM(Septiembre!$H66:$AL66)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1570</v>
      </c>
      <c r="D68" s="31">
        <f t="shared" si="13"/>
        <v>690</v>
      </c>
      <c r="E68" s="31">
        <f t="shared" si="13"/>
        <v>880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SUM(Septiembre!$H69:$AL69)</f>
        <v>290</v>
      </c>
      <c r="E69" s="33">
        <f t="shared" ref="E69:E75" si="14">C69-D69</f>
        <v>10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>
        <v>290.0</v>
      </c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SUM(Septiembre!$H70:$AL70)</f>
        <v>250</v>
      </c>
      <c r="E70" s="33">
        <f t="shared" si="14"/>
        <v>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>
        <v>250.0</v>
      </c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SUM(Septiembre!$H71:$AL71)</f>
        <v>150</v>
      </c>
      <c r="E71" s="33">
        <f t="shared" si="14"/>
        <v>50</v>
      </c>
      <c r="F71" s="34"/>
      <c r="H71" s="72"/>
      <c r="I71" s="72"/>
      <c r="J71" s="72"/>
      <c r="K71" s="72">
        <v>50.0</v>
      </c>
      <c r="L71" s="72"/>
      <c r="M71" s="72"/>
      <c r="N71" s="72"/>
      <c r="O71" s="72"/>
      <c r="P71" s="72"/>
      <c r="Q71" s="72">
        <v>50.0</v>
      </c>
      <c r="R71" s="72"/>
      <c r="S71" s="72">
        <v>50.0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600.0</v>
      </c>
      <c r="D72" s="33">
        <f>SUM(Septiembre!$H72:$AL72)</f>
        <v>0</v>
      </c>
      <c r="E72" s="33">
        <f t="shared" si="14"/>
        <v>600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220.0</v>
      </c>
      <c r="D73" s="33">
        <f>SUM(Septiembre!$H73:$AL73)</f>
        <v>0</v>
      </c>
      <c r="E73" s="33">
        <f t="shared" si="14"/>
        <v>220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SUM(Septiembre!$H74:$AL74)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SUM(Septiembre!$H75:$AL75)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4000</v>
      </c>
      <c r="D77" s="31">
        <f t="shared" si="15"/>
        <v>5160</v>
      </c>
      <c r="E77" s="31">
        <f t="shared" si="15"/>
        <v>-1160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SUM(Septiembre!$H78:$AL78)</f>
        <v>0</v>
      </c>
      <c r="E78" s="33">
        <f t="shared" ref="E78:E86" si="16">C78-D78</f>
        <v>2000</v>
      </c>
      <c r="F78" s="34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SUM(Septiembre!$H79:$AL79)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SUM(Septiembre!$H80:$AL80)</f>
        <v>5160</v>
      </c>
      <c r="E80" s="33">
        <f t="shared" si="16"/>
        <v>-3660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>
        <v>5000.0</v>
      </c>
      <c r="S80" s="72"/>
      <c r="T80" s="72"/>
      <c r="U80" s="72"/>
      <c r="V80" s="72">
        <v>160.0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SUM(Septiembre!$H81:$AL81)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500.0</v>
      </c>
      <c r="D82" s="33">
        <f>SUM(Septiembre!$H82:$AL82)</f>
        <v>0</v>
      </c>
      <c r="E82" s="33">
        <f t="shared" si="16"/>
        <v>500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SUM(Septiembre!$H83:$AL83)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SUM(Septiembre!$H84:$AL84)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SUM(Septiembre!$H85:$AL85)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SUM(Septiembre!$H86:$AL86)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210</v>
      </c>
      <c r="D88" s="31">
        <f t="shared" si="17"/>
        <v>484</v>
      </c>
      <c r="E88" s="31">
        <f t="shared" si="17"/>
        <v>-274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SUM(Septiembre!$H89:$AL89)</f>
        <v>484</v>
      </c>
      <c r="E89" s="33">
        <f t="shared" ref="E89:E95" si="18">C89-D89</f>
        <v>-484</v>
      </c>
      <c r="F89" s="34"/>
      <c r="H89" s="72"/>
      <c r="I89" s="72"/>
      <c r="J89" s="72"/>
      <c r="K89" s="72"/>
      <c r="L89" s="72"/>
      <c r="M89" s="72"/>
      <c r="N89" s="72">
        <v>124.0</v>
      </c>
      <c r="O89" s="72"/>
      <c r="P89" s="72"/>
      <c r="Q89" s="72"/>
      <c r="R89" s="72"/>
      <c r="S89" s="72"/>
      <c r="T89" s="72">
        <v>360.0</v>
      </c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210.0</v>
      </c>
      <c r="D90" s="33">
        <f>SUM(Septiembre!$H90:$AL90)</f>
        <v>0</v>
      </c>
      <c r="E90" s="33">
        <f t="shared" si="18"/>
        <v>210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SUM(Septiembre!$H91:$AL91)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SUM(Septiembre!$H92:$AL92)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SUM(Septiembre!$H93:$AL93)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SUM(Septiembre!$H94:$AL94)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SUM(Septiembre!$H95:$AL95)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700</v>
      </c>
      <c r="D97" s="31">
        <f t="shared" si="19"/>
        <v>286</v>
      </c>
      <c r="E97" s="31">
        <f t="shared" si="19"/>
        <v>414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SUM(Septiembre!$H98:$AL98)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500.0</v>
      </c>
      <c r="D99" s="33">
        <f>SUM(Septiembre!$H99:$AL99)</f>
        <v>236</v>
      </c>
      <c r="E99" s="33">
        <f t="shared" si="20"/>
        <v>264</v>
      </c>
      <c r="F99" s="34"/>
      <c r="H99" s="72"/>
      <c r="I99" s="72"/>
      <c r="J99" s="72"/>
      <c r="K99" s="72">
        <v>36.0</v>
      </c>
      <c r="L99" s="72">
        <v>100.0</v>
      </c>
      <c r="M99" s="72"/>
      <c r="N99" s="72"/>
      <c r="O99" s="72"/>
      <c r="P99" s="72"/>
      <c r="Q99" s="72"/>
      <c r="R99" s="72"/>
      <c r="S99" s="72">
        <v>100.0</v>
      </c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SUM(Septiembre!$H100:$AL100)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200.0</v>
      </c>
      <c r="D101" s="33">
        <f>SUM(Septiembre!$H101:$AL101)</f>
        <v>50</v>
      </c>
      <c r="E101" s="33">
        <f t="shared" si="20"/>
        <v>150</v>
      </c>
      <c r="F101" s="34"/>
      <c r="H101" s="72"/>
      <c r="I101" s="72"/>
      <c r="J101" s="72"/>
      <c r="K101" s="72"/>
      <c r="L101" s="72">
        <v>50.0</v>
      </c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SUM(Septiembre!$H102:$AL102)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SUM(Septiembre!$H103:$AL103)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SUM(Septiembre!$H104:$AL104)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SUM(Septiembre!$H105:$AL105)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SUM(Septiembre!$H108:$AL108)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SUM(Septiembre!$H109:$AL109)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SUM(Septiembre!$H110:$AL110)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SUM(Septiembre!$H111:$AL111)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SUM(Septiembre!$H112:$AL112)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SUM(Septiembre!$H113:$AL113)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1300</v>
      </c>
      <c r="D115" s="31">
        <f t="shared" si="23"/>
        <v>1300</v>
      </c>
      <c r="E115" s="31">
        <f t="shared" si="23"/>
        <v>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SUM(Septiembre!$H116:$AL116)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1300.0</v>
      </c>
      <c r="D117" s="33">
        <f>SUM(Septiembre!$H117:$AL117)</f>
        <v>1300</v>
      </c>
      <c r="E117" s="33">
        <f t="shared" si="24"/>
        <v>0</v>
      </c>
      <c r="F117" s="34"/>
      <c r="H117" s="72"/>
      <c r="I117" s="72"/>
      <c r="J117" s="72"/>
      <c r="K117" s="72"/>
      <c r="L117" s="72">
        <v>900.0</v>
      </c>
      <c r="M117" s="72">
        <v>400.0</v>
      </c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SUM(Septiembre!$H118:$AL118)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SUM(Septiembre!$H119:$AL119)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SUM(Septiembre!$H120:$AL120)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SUM(Septiembre!$H121:$AL121)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SUM(Septiembre!$H122:$AL122)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SUM(Septiembre!$H123:$AL123)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SUM(Septiembre!$H124:$AL124)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7800</v>
      </c>
      <c r="D126" s="31">
        <f t="shared" si="25"/>
        <v>4596</v>
      </c>
      <c r="E126" s="31">
        <f t="shared" si="25"/>
        <v>3204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6400.0</v>
      </c>
      <c r="D127" s="33">
        <f>SUM(Septiembre!$H127:$AL127)</f>
        <v>3200</v>
      </c>
      <c r="E127" s="33">
        <f t="shared" ref="E127:E134" si="26">C127-D127</f>
        <v>3200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>
        <v>3200.0</v>
      </c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700.0</v>
      </c>
      <c r="D128" s="33">
        <f>SUM(Septiembre!$H128:$AL128)</f>
        <v>696</v>
      </c>
      <c r="E128" s="33">
        <f t="shared" si="26"/>
        <v>4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>
        <v>696.0</v>
      </c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SUM(Septiembre!$H129:$AL129)</f>
        <v>700</v>
      </c>
      <c r="E129" s="33">
        <f t="shared" si="26"/>
        <v>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>
        <v>700.0</v>
      </c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SUM(Septiembre!$H130:$AL130)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SUM(Septiembre!$H131:$AL131)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SUM(Septiembre!$H132:$AL132)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SUM(Septiembre!$H133:$AL133)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SUM(Septiembre!$H134:$AL134)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1400</v>
      </c>
      <c r="D136" s="31">
        <f t="shared" si="27"/>
        <v>0</v>
      </c>
      <c r="E136" s="31">
        <f t="shared" si="27"/>
        <v>1400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SUM(Septiembre!$H137:$AL137)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SUM(Septiembre!$H138:$AL138)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200.0</v>
      </c>
      <c r="D139" s="33">
        <f>SUM(Septiembre!$H139:$AL139)</f>
        <v>0</v>
      </c>
      <c r="E139" s="33">
        <f t="shared" si="28"/>
        <v>200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200.0</v>
      </c>
      <c r="D140" s="33">
        <f>SUM(Septiembre!$H140:$AL140)</f>
        <v>0</v>
      </c>
      <c r="E140" s="33">
        <f t="shared" si="28"/>
        <v>200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1000.0</v>
      </c>
      <c r="D141" s="33">
        <f>SUM(Septiembre!$H141:$AL141)</f>
        <v>0</v>
      </c>
      <c r="E141" s="33">
        <f t="shared" si="28"/>
        <v>1000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SUM(Septiembre!$H142:$AL142)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SUM(Septiembre!$H143:$AL143)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SUM(Septiembre!$H144:$AL144)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2000</v>
      </c>
      <c r="D146" s="31">
        <f t="shared" si="29"/>
        <v>0</v>
      </c>
      <c r="E146" s="31">
        <f t="shared" si="29"/>
        <v>2000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2000.0</v>
      </c>
      <c r="D147" s="33">
        <f>SUM(Septiembre!$H147:$AL147)</f>
        <v>0</v>
      </c>
      <c r="E147" s="33">
        <f t="shared" ref="E147:E156" si="30">C147-D147</f>
        <v>2000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SUM(Septiembre!$H148:$AL148)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SUM(Septiembre!$H149:$AL149)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SUM(Septiembre!$H150:$AL150)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SUM(Septiembre!$H151:$AL151)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SUM(Septiembre!$H152:$AL152)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SUM(Septiembre!$H153:$AL153)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SUM(Septiembre!$H154:$AL154)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SUM(Septiembre!$H155:$AL155)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SUM(Septiembre!$H156:$AL156)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SUM(Septiembre!$H159:$AL159)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SUM(Septiembre!$H160:$AL160)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SUM(Septiembre!$H161:$AL161)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SUM(Septiembre!$H162:$AL162)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SUM(Septiembre!$H163:$AL163)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SUM(Septiembre!$H164:$AL164)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SUM(Septiembre!$H165:$AL165)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SUM(Septiembre!$H166:$AL166)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33480</v>
      </c>
      <c r="D169" s="47">
        <f t="shared" si="33"/>
        <v>29861.25</v>
      </c>
      <c r="E169" s="47">
        <f t="shared" si="33"/>
        <v>3618.75</v>
      </c>
      <c r="F169" s="45"/>
      <c r="G169" s="45"/>
      <c r="H169" s="76">
        <f t="shared" ref="H169:AL169" si="34">SUM(H28:H156)</f>
        <v>0</v>
      </c>
      <c r="I169" s="76">
        <f t="shared" si="34"/>
        <v>7000</v>
      </c>
      <c r="J169" s="76">
        <f t="shared" si="34"/>
        <v>0</v>
      </c>
      <c r="K169" s="76">
        <f t="shared" si="34"/>
        <v>906.25</v>
      </c>
      <c r="L169" s="76">
        <f t="shared" si="34"/>
        <v>2808</v>
      </c>
      <c r="M169" s="76">
        <f t="shared" si="34"/>
        <v>525</v>
      </c>
      <c r="N169" s="76">
        <f t="shared" si="34"/>
        <v>124</v>
      </c>
      <c r="O169" s="76">
        <f t="shared" si="34"/>
        <v>280</v>
      </c>
      <c r="P169" s="76">
        <f t="shared" si="34"/>
        <v>50</v>
      </c>
      <c r="Q169" s="76">
        <f t="shared" si="34"/>
        <v>3014</v>
      </c>
      <c r="R169" s="76">
        <f t="shared" si="34"/>
        <v>5350</v>
      </c>
      <c r="S169" s="76">
        <f t="shared" si="34"/>
        <v>1022</v>
      </c>
      <c r="T169" s="76">
        <f t="shared" si="34"/>
        <v>2303</v>
      </c>
      <c r="U169" s="76">
        <f t="shared" si="34"/>
        <v>1600</v>
      </c>
      <c r="V169" s="76">
        <f t="shared" si="34"/>
        <v>3520</v>
      </c>
      <c r="W169" s="76">
        <f t="shared" si="34"/>
        <v>0</v>
      </c>
      <c r="X169" s="76">
        <f t="shared" si="34"/>
        <v>580</v>
      </c>
      <c r="Y169" s="76">
        <f t="shared" si="34"/>
        <v>509</v>
      </c>
      <c r="Z169" s="76">
        <f t="shared" si="34"/>
        <v>110</v>
      </c>
      <c r="AA169" s="76">
        <f t="shared" si="34"/>
        <v>0</v>
      </c>
      <c r="AB169" s="76">
        <f t="shared" si="34"/>
        <v>0</v>
      </c>
      <c r="AC169" s="76">
        <f t="shared" si="34"/>
        <v>160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41720.4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33480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8240.4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29861.25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-29861.25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3494.25</v>
      </c>
    </row>
    <row r="192" ht="19.5" customHeight="1">
      <c r="B192" s="12"/>
      <c r="C192" s="64"/>
      <c r="D192" s="65" t="str">
        <f>B37</f>
        <v>SALUD</v>
      </c>
      <c r="E192" s="66">
        <f>D37</f>
        <v>3370</v>
      </c>
    </row>
    <row r="193" ht="19.5" customHeight="1">
      <c r="B193" s="12"/>
      <c r="C193" s="64"/>
      <c r="D193" s="65" t="str">
        <f>B45</f>
        <v>CASA</v>
      </c>
      <c r="E193" s="66">
        <f>D45</f>
        <v>8168</v>
      </c>
    </row>
    <row r="194" ht="19.5" customHeight="1">
      <c r="B194" s="12"/>
      <c r="C194" s="64"/>
      <c r="D194" s="65" t="str">
        <f>B58</f>
        <v>ROPA Y CALZADO</v>
      </c>
      <c r="E194" s="66">
        <f>D58</f>
        <v>2313</v>
      </c>
    </row>
    <row r="195" ht="19.5" customHeight="1">
      <c r="B195" s="12"/>
      <c r="C195" s="64"/>
      <c r="D195" s="65" t="str">
        <f>B68</f>
        <v>COMUNICACIÓN</v>
      </c>
      <c r="E195" s="66">
        <f>D68</f>
        <v>690</v>
      </c>
    </row>
    <row r="196" ht="19.5" customHeight="1">
      <c r="B196" s="12"/>
      <c r="C196" s="64"/>
      <c r="D196" s="65" t="str">
        <f>B77</f>
        <v>TRANSPORTE</v>
      </c>
      <c r="E196" s="66">
        <f>D77</f>
        <v>5160</v>
      </c>
    </row>
    <row r="197" ht="19.5" customHeight="1">
      <c r="B197" s="12"/>
      <c r="C197" s="64"/>
      <c r="D197" s="65" t="str">
        <f>B88</f>
        <v>HIGIENE</v>
      </c>
      <c r="E197" s="66">
        <f>D88</f>
        <v>484</v>
      </c>
    </row>
    <row r="198" ht="19.5" customHeight="1">
      <c r="B198" s="12"/>
      <c r="C198" s="64"/>
      <c r="D198" s="65" t="str">
        <f>B97</f>
        <v>NIÑOS</v>
      </c>
      <c r="E198" s="66">
        <f>D97</f>
        <v>286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1300</v>
      </c>
    </row>
    <row r="201" ht="19.5" customHeight="1">
      <c r="B201" s="12"/>
      <c r="C201" s="64"/>
      <c r="D201" s="65" t="str">
        <f>B126</f>
        <v>DEUDAS</v>
      </c>
      <c r="E201" s="66">
        <f>D126</f>
        <v>4596</v>
      </c>
    </row>
    <row r="202" ht="19.5" customHeight="1">
      <c r="B202" s="12"/>
      <c r="C202" s="64"/>
      <c r="D202" s="65" t="str">
        <f>B136</f>
        <v>OTROS GASTOS</v>
      </c>
      <c r="E202" s="66">
        <f>D136</f>
        <v>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44470.0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44000</v>
      </c>
      <c r="D9" s="29">
        <f t="shared" si="1"/>
        <v>0</v>
      </c>
      <c r="E9" s="29">
        <f t="shared" si="1"/>
        <v>-44000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44000</v>
      </c>
      <c r="D11" s="31">
        <f t="shared" si="2"/>
        <v>0</v>
      </c>
      <c r="E11" s="31">
        <f t="shared" si="2"/>
        <v>-44000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44000.0</v>
      </c>
      <c r="D12" s="70">
        <f>SUM(Octubre!$H12:$AL12)</f>
        <v>0</v>
      </c>
      <c r="E12" s="33">
        <f t="shared" ref="E12:E20" si="3">D12-C12</f>
        <v>-44000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73">
        <v>0.0</v>
      </c>
      <c r="D13" s="70">
        <f>SUM(Octubre!$H13:$AL13)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SUM(Octubre!$H14:$AL14)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0.0</v>
      </c>
      <c r="D15" s="70">
        <f>SUM(Octubre!$H15:$AL15)</f>
        <v>0</v>
      </c>
      <c r="E15" s="33">
        <f t="shared" si="3"/>
        <v>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SUM(Octubre!$H16:$AL16)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SUM(Octubre!$H17:$AL17)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SUM(Octubre!$H18:$AL18)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SUM(Octubre!$H19:$AL19)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SUM(Octubre!$H20:$AL20)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32990</v>
      </c>
      <c r="D26" s="38">
        <f t="shared" si="4"/>
        <v>9788.67</v>
      </c>
      <c r="E26" s="38">
        <f t="shared" si="4"/>
        <v>23201.33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1246.5</v>
      </c>
      <c r="E28" s="31">
        <f t="shared" si="5"/>
        <v>1753.5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3000.0</v>
      </c>
      <c r="D29" s="33">
        <f>SUM(Octubre!$H29:$AL29)</f>
        <v>955.3</v>
      </c>
      <c r="E29" s="33">
        <f t="shared" ref="E29:E35" si="6">C29-D29</f>
        <v>2044.7</v>
      </c>
      <c r="F29" s="34"/>
      <c r="H29" s="72"/>
      <c r="I29" s="72"/>
      <c r="J29" s="72">
        <v>422.0</v>
      </c>
      <c r="K29" s="72"/>
      <c r="L29" s="72"/>
      <c r="M29" s="72"/>
      <c r="N29" s="72"/>
      <c r="O29" s="72"/>
      <c r="P29" s="72"/>
      <c r="Q29" s="72">
        <v>68.0</v>
      </c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>
        <v>66.0</v>
      </c>
      <c r="AD29" s="72"/>
      <c r="AE29" s="72"/>
      <c r="AF29" s="72"/>
      <c r="AG29" s="72"/>
      <c r="AH29" s="72"/>
      <c r="AI29" s="72"/>
      <c r="AJ29" s="72">
        <v>53.0</v>
      </c>
      <c r="AK29" s="72">
        <f>40+256.3</f>
        <v>296.3</v>
      </c>
      <c r="AL29" s="72">
        <f>50</f>
        <v>50</v>
      </c>
    </row>
    <row r="30" ht="15.75" customHeight="1">
      <c r="B30" s="9" t="str">
        <f>Categorias!B26</f>
        <v>Comida Carlos</v>
      </c>
      <c r="C30" s="73">
        <v>0.0</v>
      </c>
      <c r="D30" s="33">
        <f>SUM(Octubre!$H30:$AL30)</f>
        <v>61.6</v>
      </c>
      <c r="E30" s="33">
        <f t="shared" si="6"/>
        <v>-61.6</v>
      </c>
      <c r="F30" s="34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>
        <v>34.6</v>
      </c>
      <c r="AK30" s="72"/>
      <c r="AL30" s="72">
        <v>27.0</v>
      </c>
    </row>
    <row r="31" ht="15.75" customHeight="1">
      <c r="B31" s="9" t="str">
        <f>Categorias!B27</f>
        <v>-</v>
      </c>
      <c r="C31" s="73">
        <v>0.0</v>
      </c>
      <c r="D31" s="33">
        <f>SUM(Octubre!$H31:$AL31)</f>
        <v>29.6</v>
      </c>
      <c r="E31" s="33">
        <f t="shared" si="6"/>
        <v>-29.6</v>
      </c>
      <c r="F31" s="34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>
        <v>29.6</v>
      </c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SUM(Octubre!$H32:$AL32)</f>
        <v>200</v>
      </c>
      <c r="E32" s="33">
        <f t="shared" si="6"/>
        <v>-200</v>
      </c>
      <c r="F32" s="34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>
        <v>200.0</v>
      </c>
    </row>
    <row r="33" ht="15.75" customHeight="1">
      <c r="B33" s="9" t="str">
        <f>Categorias!B29</f>
        <v>-</v>
      </c>
      <c r="C33" s="73">
        <v>0.0</v>
      </c>
      <c r="D33" s="33">
        <f>SUM(Octubre!$H33:$AL33)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SUM(Octubre!$H34:$AL34)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SUM(Octubre!$H35:$AL35)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0</v>
      </c>
      <c r="D37" s="31">
        <f t="shared" si="7"/>
        <v>0</v>
      </c>
      <c r="E37" s="31">
        <f t="shared" si="7"/>
        <v>0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SUM(Octubre!$H38:$AL38)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SUM(Octubre!$H39:$AL39)</f>
        <v>0</v>
      </c>
      <c r="E39" s="33">
        <f t="shared" si="8"/>
        <v>0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0.0</v>
      </c>
      <c r="D40" s="33">
        <f>SUM(Octubre!$H40:$AL40)</f>
        <v>0</v>
      </c>
      <c r="E40" s="33">
        <f t="shared" si="8"/>
        <v>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0.0</v>
      </c>
      <c r="D41" s="33">
        <f>SUM(Octubre!$H41:$AL41)</f>
        <v>0</v>
      </c>
      <c r="E41" s="33">
        <f t="shared" si="8"/>
        <v>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SUM(Octubre!$H42:$AL42)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SUM(Octubre!$H43:$AL43)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15500</v>
      </c>
      <c r="D45" s="31">
        <f t="shared" si="9"/>
        <v>4099</v>
      </c>
      <c r="E45" s="31">
        <f t="shared" si="9"/>
        <v>11401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SUM(Octubre!$H46:$AL46)</f>
        <v>99</v>
      </c>
      <c r="E46" s="33">
        <f t="shared" ref="E46:E56" si="10">C46-D46</f>
        <v>-99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>
        <v>99.0</v>
      </c>
      <c r="AK46" s="72"/>
      <c r="AL46" s="72"/>
    </row>
    <row r="47" ht="15.75" customHeight="1">
      <c r="B47" s="9" t="str">
        <f>Categorias!B43</f>
        <v>Electricidad</v>
      </c>
      <c r="C47" s="73">
        <v>1000.0</v>
      </c>
      <c r="D47" s="33">
        <f>SUM(Octubre!$H47:$AL47)</f>
        <v>0</v>
      </c>
      <c r="E47" s="33">
        <f t="shared" si="10"/>
        <v>1000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SUM(Octubre!$H48:$AL48)</f>
        <v>0</v>
      </c>
      <c r="E48" s="33">
        <f t="shared" si="10"/>
        <v>300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SUM(Octubre!$H49:$AL49)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SUM(Octubre!$H50:$AL50)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12000.0</v>
      </c>
      <c r="D51" s="33">
        <f>SUM(Octubre!$H51:$AL51)</f>
        <v>0</v>
      </c>
      <c r="E51" s="33">
        <f t="shared" si="10"/>
        <v>12000</v>
      </c>
      <c r="F51" s="34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0.0</v>
      </c>
      <c r="D52" s="33">
        <f>SUM(Octubre!$H52:$AL52)</f>
        <v>0</v>
      </c>
      <c r="E52" s="33">
        <f t="shared" si="10"/>
        <v>0</v>
      </c>
      <c r="F52" s="34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SUM(Octubre!$H53:$AL53)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2200.0</v>
      </c>
      <c r="D54" s="33">
        <f>SUM(Octubre!$H54:$AL54)</f>
        <v>4000</v>
      </c>
      <c r="E54" s="33">
        <f t="shared" si="10"/>
        <v>-1800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>
        <v>4000.0</v>
      </c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SUM(Octubre!$H55:$AL55)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SUM(Octubre!$H56:$AL56)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0</v>
      </c>
      <c r="E58" s="31">
        <f t="shared" si="11"/>
        <v>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SUM(Octubre!$H59:$AL59)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SUM(Octubre!$H60:$AL60)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SUM(Octubre!$H61:$AL61)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SUM(Octubre!$H62:$AL62)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SUM(Octubre!$H63:$AL63)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SUM(Octubre!$H64:$AL64)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SUM(Octubre!$H65:$AL65)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SUM(Octubre!$H66:$AL66)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750</v>
      </c>
      <c r="D68" s="31">
        <f t="shared" si="13"/>
        <v>0</v>
      </c>
      <c r="E68" s="31">
        <f t="shared" si="13"/>
        <v>750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SUM(Octubre!$H69:$AL69)</f>
        <v>0</v>
      </c>
      <c r="E69" s="33">
        <f t="shared" ref="E69:E75" si="14">C69-D69</f>
        <v>300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SUM(Octubre!$H70:$AL70)</f>
        <v>0</v>
      </c>
      <c r="E70" s="33">
        <f t="shared" si="14"/>
        <v>250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SUM(Octubre!$H71:$AL71)</f>
        <v>0</v>
      </c>
      <c r="E71" s="33">
        <f t="shared" si="14"/>
        <v>200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SUM(Octubre!$H72:$AL72)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SUM(Octubre!$H73:$AL73)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SUM(Octubre!$H74:$AL74)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SUM(Octubre!$H75:$AL75)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6500</v>
      </c>
      <c r="D77" s="31">
        <f t="shared" si="15"/>
        <v>4310.67</v>
      </c>
      <c r="E77" s="31">
        <f t="shared" si="15"/>
        <v>2189.33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4000.0</v>
      </c>
      <c r="D78" s="33">
        <f>SUM(Octubre!$H78:$AL78)</f>
        <v>2594.67</v>
      </c>
      <c r="E78" s="33">
        <f t="shared" ref="E78:E86" si="16">C78-D78</f>
        <v>1405.33</v>
      </c>
      <c r="F78" s="34"/>
      <c r="H78" s="72"/>
      <c r="I78" s="72"/>
      <c r="J78" s="72"/>
      <c r="K78" s="72"/>
      <c r="L78" s="72"/>
      <c r="M78" s="72"/>
      <c r="N78" s="72"/>
      <c r="O78" s="72">
        <v>794.66</v>
      </c>
      <c r="P78" s="72">
        <v>971.36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>
        <v>828.65</v>
      </c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SUM(Octubre!$H79:$AL79)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SUM(Octubre!$H80:$AL80)</f>
        <v>897</v>
      </c>
      <c r="E80" s="33">
        <f t="shared" si="16"/>
        <v>603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>
        <v>897.0</v>
      </c>
    </row>
    <row r="81" ht="15.75" customHeight="1">
      <c r="B81" s="9" t="str">
        <f>Categorias!B79</f>
        <v>Derecho vehicular Fusion</v>
      </c>
      <c r="C81" s="73">
        <v>0.0</v>
      </c>
      <c r="D81" s="33">
        <f>SUM(Octubre!$H81:$AL81)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1000.0</v>
      </c>
      <c r="D82" s="33">
        <f>SUM(Octubre!$H82:$AL82)</f>
        <v>819</v>
      </c>
      <c r="E82" s="33">
        <f t="shared" si="16"/>
        <v>181</v>
      </c>
      <c r="F82" s="34"/>
      <c r="H82" s="72"/>
      <c r="I82" s="72"/>
      <c r="J82" s="72"/>
      <c r="K82" s="72">
        <v>234.0</v>
      </c>
      <c r="L82" s="72"/>
      <c r="M82" s="72"/>
      <c r="N82" s="72"/>
      <c r="O82" s="72">
        <v>117.0</v>
      </c>
      <c r="P82" s="72">
        <v>117.0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>
        <v>234.0</v>
      </c>
      <c r="AJ82" s="72"/>
      <c r="AK82" s="72"/>
      <c r="AL82" s="72">
        <v>117.0</v>
      </c>
    </row>
    <row r="83" ht="15.75" customHeight="1">
      <c r="B83" s="9" t="str">
        <f>Categorias!B81</f>
        <v>ADO</v>
      </c>
      <c r="C83" s="73">
        <v>0.0</v>
      </c>
      <c r="D83" s="33">
        <f>SUM(Octubre!$H83:$AL83)</f>
        <v>0</v>
      </c>
      <c r="E83" s="33">
        <f t="shared" si="16"/>
        <v>0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SUM(Octubre!$H84:$AL84)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SUM(Octubre!$H85:$AL85)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SUM(Octubre!$H86:$AL86)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140</v>
      </c>
      <c r="D88" s="31">
        <f t="shared" si="17"/>
        <v>132.5</v>
      </c>
      <c r="E88" s="31">
        <f t="shared" si="17"/>
        <v>7.5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SUM(Octubre!$H89:$AL89)</f>
        <v>99</v>
      </c>
      <c r="E89" s="33">
        <f t="shared" ref="E89:E95" si="18">C89-D89</f>
        <v>-99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>
        <v>99.0</v>
      </c>
      <c r="AK89" s="72"/>
      <c r="AL89" s="72"/>
    </row>
    <row r="90" ht="15.75" customHeight="1">
      <c r="B90" s="9" t="str">
        <f>Categorias!B88</f>
        <v>Peluquería / S. Belleza</v>
      </c>
      <c r="C90" s="73">
        <v>140.0</v>
      </c>
      <c r="D90" s="33">
        <f>SUM(Octubre!$H90:$AL90)</f>
        <v>0</v>
      </c>
      <c r="E90" s="33">
        <f t="shared" si="18"/>
        <v>140</v>
      </c>
      <c r="F90" s="34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SUM(Octubre!$H91:$AL91)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SUM(Octubre!$H92:$AL92)</f>
        <v>33.5</v>
      </c>
      <c r="E92" s="33">
        <f t="shared" si="18"/>
        <v>-33.5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>
        <v>33.5</v>
      </c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SUM(Octubre!$H93:$AL93)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SUM(Octubre!$H94:$AL94)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SUM(Octubre!$H95:$AL95)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0</v>
      </c>
      <c r="E97" s="31">
        <f t="shared" si="19"/>
        <v>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SUM(Octubre!$H98:$AL98)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SUM(Octubre!$H99:$AL99)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SUM(Octubre!$H100:$AL100)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SUM(Octubre!$H101:$AL101)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SUM(Octubre!$H102:$AL102)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SUM(Octubre!$H103:$AL103)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SUM(Octubre!$H104:$AL104)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SUM(Octubre!$H105:$AL105)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SUM(Octubre!$H108:$AL108)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SUM(Octubre!$H109:$AL109)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SUM(Octubre!$H110:$AL110)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SUM(Octubre!$H111:$AL111)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SUM(Octubre!$H112:$AL112)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SUM(Octubre!$H113:$AL113)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0</v>
      </c>
      <c r="D115" s="31">
        <f t="shared" si="23"/>
        <v>0</v>
      </c>
      <c r="E115" s="31">
        <f t="shared" si="23"/>
        <v>0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SUM(Octubre!$H116:$AL116)</f>
        <v>0</v>
      </c>
      <c r="E116" s="33">
        <f t="shared" ref="E116:E124" si="24">C116-D116</f>
        <v>0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0.0</v>
      </c>
      <c r="D117" s="33">
        <f>SUM(Octubre!$H117:$AL117)</f>
        <v>0</v>
      </c>
      <c r="E117" s="33">
        <f t="shared" si="24"/>
        <v>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SUM(Octubre!$H118:$AL118)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SUM(Octubre!$H119:$AL119)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SUM(Octubre!$H120:$AL120)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SUM(Octubre!$H121:$AL121)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SUM(Octubre!$H122:$AL122)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SUM(Octubre!$H123:$AL123)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SUM(Octubre!$H124:$AL124)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4600</v>
      </c>
      <c r="D126" s="31">
        <f t="shared" si="25"/>
        <v>0</v>
      </c>
      <c r="E126" s="31">
        <f t="shared" si="25"/>
        <v>4600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3200.0</v>
      </c>
      <c r="D127" s="33">
        <f>SUM(Octubre!$H127:$AL127)</f>
        <v>0</v>
      </c>
      <c r="E127" s="33">
        <f t="shared" ref="E127:E134" si="26">C127-D127</f>
        <v>3200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700.0</v>
      </c>
      <c r="D128" s="33">
        <f>SUM(Octubre!$H128:$AL128)</f>
        <v>0</v>
      </c>
      <c r="E128" s="33">
        <f t="shared" si="26"/>
        <v>700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SUM(Octubre!$H129:$AL129)</f>
        <v>0</v>
      </c>
      <c r="E129" s="33">
        <f t="shared" si="26"/>
        <v>700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SUM(Octubre!$H130:$AL130)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SUM(Octubre!$H131:$AL131)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SUM(Octubre!$H132:$AL132)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SUM(Octubre!$H133:$AL133)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SUM(Octubre!$H134:$AL134)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500</v>
      </c>
      <c r="D136" s="31">
        <f t="shared" si="27"/>
        <v>0</v>
      </c>
      <c r="E136" s="31">
        <f t="shared" si="27"/>
        <v>500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SUM(Octubre!$H137:$AL137)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SUM(Octubre!$H138:$AL138)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200.0</v>
      </c>
      <c r="D139" s="33">
        <f>SUM(Octubre!$H139:$AL139)</f>
        <v>0</v>
      </c>
      <c r="E139" s="33">
        <f t="shared" si="28"/>
        <v>200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300.0</v>
      </c>
      <c r="D140" s="33">
        <f>SUM(Octubre!$H140:$AL140)</f>
        <v>0</v>
      </c>
      <c r="E140" s="33">
        <f t="shared" si="28"/>
        <v>300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SUM(Octubre!$H141:$AL141)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SUM(Octubre!$H142:$AL142)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SUM(Octubre!$H143:$AL143)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SUM(Octubre!$H144:$AL144)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2000</v>
      </c>
      <c r="D146" s="31">
        <f t="shared" si="29"/>
        <v>0</v>
      </c>
      <c r="E146" s="31">
        <f t="shared" si="29"/>
        <v>2000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2000.0</v>
      </c>
      <c r="D147" s="33">
        <f>SUM(Octubre!$H147:$AL147)</f>
        <v>0</v>
      </c>
      <c r="E147" s="33">
        <f t="shared" ref="E147:E156" si="30">C147-D147</f>
        <v>2000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SUM(Octubre!$H148:$AL148)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SUM(Octubre!$H149:$AL149)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SUM(Octubre!$H150:$AL150)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SUM(Octubre!$H151:$AL151)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SUM(Octubre!$H152:$AL152)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SUM(Octubre!$H153:$AL153)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SUM(Octubre!$H154:$AL154)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SUM(Octubre!$H155:$AL155)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SUM(Octubre!$H156:$AL156)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SUM(Octubre!$H159:$AL159)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SUM(Octubre!$H160:$AL160)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SUM(Octubre!$H161:$AL161)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SUM(Octubre!$H162:$AL162)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SUM(Octubre!$H163:$AL163)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SUM(Octubre!$H164:$AL164)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SUM(Octubre!$H165:$AL165)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SUM(Octubre!$H166:$AL166)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32990</v>
      </c>
      <c r="D169" s="47">
        <f t="shared" si="33"/>
        <v>9788.67</v>
      </c>
      <c r="E169" s="47">
        <f t="shared" si="33"/>
        <v>23201.33</v>
      </c>
      <c r="F169" s="45"/>
      <c r="G169" s="45"/>
      <c r="H169" s="76">
        <f t="shared" ref="H169:AL169" si="34">SUM(H28:H156)</f>
        <v>0</v>
      </c>
      <c r="I169" s="76">
        <f t="shared" si="34"/>
        <v>0</v>
      </c>
      <c r="J169" s="76">
        <f t="shared" si="34"/>
        <v>422</v>
      </c>
      <c r="K169" s="76">
        <f t="shared" si="34"/>
        <v>234</v>
      </c>
      <c r="L169" s="76">
        <f t="shared" si="34"/>
        <v>0</v>
      </c>
      <c r="M169" s="76">
        <f t="shared" si="34"/>
        <v>0</v>
      </c>
      <c r="N169" s="76">
        <f t="shared" si="34"/>
        <v>0</v>
      </c>
      <c r="O169" s="76">
        <f t="shared" si="34"/>
        <v>911.66</v>
      </c>
      <c r="P169" s="76">
        <f t="shared" si="34"/>
        <v>1088.36</v>
      </c>
      <c r="Q169" s="76">
        <f t="shared" si="34"/>
        <v>68</v>
      </c>
      <c r="R169" s="76">
        <f t="shared" si="34"/>
        <v>0</v>
      </c>
      <c r="S169" s="76">
        <f t="shared" si="34"/>
        <v>0</v>
      </c>
      <c r="T169" s="76">
        <f t="shared" si="34"/>
        <v>0</v>
      </c>
      <c r="U169" s="76">
        <f t="shared" si="34"/>
        <v>0</v>
      </c>
      <c r="V169" s="76">
        <f t="shared" si="34"/>
        <v>0</v>
      </c>
      <c r="W169" s="76">
        <f t="shared" si="34"/>
        <v>0</v>
      </c>
      <c r="X169" s="76">
        <f t="shared" si="34"/>
        <v>4000</v>
      </c>
      <c r="Y169" s="76">
        <f t="shared" si="34"/>
        <v>0</v>
      </c>
      <c r="Z169" s="76">
        <f t="shared" si="34"/>
        <v>0</v>
      </c>
      <c r="AA169" s="76">
        <f t="shared" si="34"/>
        <v>0</v>
      </c>
      <c r="AB169" s="76">
        <f t="shared" si="34"/>
        <v>0</v>
      </c>
      <c r="AC169" s="76">
        <f t="shared" si="34"/>
        <v>66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1096.15</v>
      </c>
      <c r="AJ169" s="76">
        <f t="shared" si="34"/>
        <v>315.2</v>
      </c>
      <c r="AK169" s="76">
        <f t="shared" si="34"/>
        <v>296.3</v>
      </c>
      <c r="AL169" s="76">
        <f t="shared" si="34"/>
        <v>1291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44000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32990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11010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9788.67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-9788.67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1246.5</v>
      </c>
    </row>
    <row r="192" ht="19.5" customHeight="1">
      <c r="B192" s="12"/>
      <c r="C192" s="64"/>
      <c r="D192" s="65" t="str">
        <f>B37</f>
        <v>SALUD</v>
      </c>
      <c r="E192" s="66">
        <f>D37</f>
        <v>0</v>
      </c>
    </row>
    <row r="193" ht="19.5" customHeight="1">
      <c r="B193" s="12"/>
      <c r="C193" s="64"/>
      <c r="D193" s="65" t="str">
        <f>B45</f>
        <v>CASA</v>
      </c>
      <c r="E193" s="66">
        <f>D45</f>
        <v>4099</v>
      </c>
    </row>
    <row r="194" ht="19.5" customHeight="1">
      <c r="B194" s="12"/>
      <c r="C194" s="64"/>
      <c r="D194" s="65" t="str">
        <f>B58</f>
        <v>ROPA Y CALZADO</v>
      </c>
      <c r="E194" s="66">
        <f>D58</f>
        <v>0</v>
      </c>
    </row>
    <row r="195" ht="19.5" customHeight="1">
      <c r="B195" s="12"/>
      <c r="C195" s="64"/>
      <c r="D195" s="65" t="str">
        <f>B68</f>
        <v>COMUNICACIÓN</v>
      </c>
      <c r="E195" s="66">
        <f>D68</f>
        <v>0</v>
      </c>
    </row>
    <row r="196" ht="19.5" customHeight="1">
      <c r="B196" s="12"/>
      <c r="C196" s="64"/>
      <c r="D196" s="65" t="str">
        <f>B77</f>
        <v>TRANSPORTE</v>
      </c>
      <c r="E196" s="66">
        <f>D77</f>
        <v>4310.67</v>
      </c>
    </row>
    <row r="197" ht="19.5" customHeight="1">
      <c r="B197" s="12"/>
      <c r="C197" s="64"/>
      <c r="D197" s="65" t="str">
        <f>B88</f>
        <v>HIGIENE</v>
      </c>
      <c r="E197" s="66">
        <f>D88</f>
        <v>132.5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0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44501.0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47000</v>
      </c>
      <c r="D9" s="29">
        <f t="shared" si="1"/>
        <v>44000</v>
      </c>
      <c r="E9" s="29">
        <f t="shared" si="1"/>
        <v>-3000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47000</v>
      </c>
      <c r="D11" s="31">
        <f t="shared" si="2"/>
        <v>44000</v>
      </c>
      <c r="E11" s="31">
        <f t="shared" si="2"/>
        <v>-3000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44000.0</v>
      </c>
      <c r="D12" s="70">
        <f>SUM(Noviembre!$H12:$AL12)</f>
        <v>44000</v>
      </c>
      <c r="E12" s="33">
        <f t="shared" ref="E12:E20" si="3">D12-C12</f>
        <v>0</v>
      </c>
      <c r="F12" s="34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>
        <v>22000.0</v>
      </c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>
        <v>22000.0</v>
      </c>
      <c r="AK12" s="72"/>
      <c r="AL12" s="72"/>
    </row>
    <row r="13">
      <c r="B13" s="9" t="str">
        <f>Categorias!B13</f>
        <v>Aguinaldo</v>
      </c>
      <c r="C13" s="73">
        <v>0.0</v>
      </c>
      <c r="D13" s="70">
        <f>SUM(Noviembre!$H13:$AL13)</f>
        <v>0</v>
      </c>
      <c r="E13" s="33">
        <f t="shared" si="3"/>
        <v>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SUM(Noviembre!$H14:$AL14)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3000.0</v>
      </c>
      <c r="D15" s="70">
        <f>SUM(Noviembre!$H15:$AL15)</f>
        <v>0</v>
      </c>
      <c r="E15" s="33">
        <f t="shared" si="3"/>
        <v>-3000</v>
      </c>
      <c r="F15" s="34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SUM(Noviembre!$H16:$AL16)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SUM(Noviembre!$H17:$AL17)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SUM(Noviembre!$H18:$AL18)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SUM(Noviembre!$H19:$AL19)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SUM(Noviembre!$H20:$AL20)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</row>
    <row r="23" ht="21.0" customHeight="1">
      <c r="B23" s="35" t="s">
        <v>11</v>
      </c>
      <c r="H23" s="74" t="s">
        <v>134</v>
      </c>
    </row>
    <row r="24" ht="15.75" customHeight="1">
      <c r="B24" s="36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</row>
    <row r="26" ht="19.5" customHeight="1">
      <c r="B26" s="37" t="s">
        <v>84</v>
      </c>
      <c r="C26" s="38">
        <f t="shared" ref="C26:E26" si="4">C28+C37+C45+C58+C68+C77+C88+C97+C107+C115+C126+C136+C146+C158</f>
        <v>24190</v>
      </c>
      <c r="D26" s="38">
        <f t="shared" si="4"/>
        <v>32167.34</v>
      </c>
      <c r="E26" s="38">
        <f t="shared" si="4"/>
        <v>-7977.34</v>
      </c>
      <c r="F26" s="30"/>
      <c r="H26" s="75" t="s">
        <v>128</v>
      </c>
    </row>
    <row r="27" ht="15.75" customHeight="1">
      <c r="B27" s="13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5275</v>
      </c>
      <c r="E28" s="31">
        <f t="shared" si="5"/>
        <v>-2275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68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3000.0</v>
      </c>
      <c r="D29" s="33">
        <f>SUM(Noviembre!$H29:$AL29)</f>
        <v>1951</v>
      </c>
      <c r="E29" s="33">
        <f t="shared" ref="E29:E35" si="6">C29-D29</f>
        <v>1049</v>
      </c>
      <c r="F29" s="34"/>
      <c r="H29" s="72"/>
      <c r="I29" s="72"/>
      <c r="J29" s="72"/>
      <c r="K29" s="72"/>
      <c r="L29" s="72"/>
      <c r="M29" s="72"/>
      <c r="N29" s="72"/>
      <c r="O29" s="72">
        <v>300.0</v>
      </c>
      <c r="P29" s="72">
        <v>200.0</v>
      </c>
      <c r="Q29" s="72">
        <v>220.0</v>
      </c>
      <c r="R29" s="72">
        <v>581.0</v>
      </c>
      <c r="S29" s="72"/>
      <c r="T29" s="72"/>
      <c r="U29" s="72"/>
      <c r="V29" s="72">
        <v>33.0</v>
      </c>
      <c r="W29" s="72"/>
      <c r="X29" s="72"/>
      <c r="Y29" s="72"/>
      <c r="Z29" s="72"/>
      <c r="AA29" s="72"/>
      <c r="AB29" s="72">
        <v>177.0</v>
      </c>
      <c r="AC29" s="72"/>
      <c r="AD29" s="72">
        <v>190.0</v>
      </c>
      <c r="AE29" s="72"/>
      <c r="AF29" s="72">
        <v>250.0</v>
      </c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SUM(Noviembre!$H30:$AL30)</f>
        <v>940</v>
      </c>
      <c r="E30" s="33">
        <f t="shared" si="6"/>
        <v>-940</v>
      </c>
      <c r="F30" s="34"/>
      <c r="H30" s="72">
        <v>540.0</v>
      </c>
      <c r="I30" s="72"/>
      <c r="J30" s="72"/>
      <c r="K30" s="72"/>
      <c r="L30" s="72"/>
      <c r="M30" s="72"/>
      <c r="N30" s="72"/>
      <c r="O30" s="72"/>
      <c r="P30" s="72"/>
      <c r="Q30" s="72">
        <v>80.0</v>
      </c>
      <c r="R30" s="72"/>
      <c r="S30" s="72">
        <v>30.0</v>
      </c>
      <c r="T30" s="72"/>
      <c r="U30" s="72"/>
      <c r="V30" s="72"/>
      <c r="W30" s="72"/>
      <c r="X30" s="72"/>
      <c r="Y30" s="72"/>
      <c r="Z30" s="72"/>
      <c r="AA30" s="72"/>
      <c r="AB30" s="72"/>
      <c r="AC30" s="72">
        <v>60.0</v>
      </c>
      <c r="AD30" s="72"/>
      <c r="AE30" s="72"/>
      <c r="AF30" s="72"/>
      <c r="AG30" s="72"/>
      <c r="AH30" s="72"/>
      <c r="AI30" s="72"/>
      <c r="AJ30" s="72">
        <f>160+70</f>
        <v>230</v>
      </c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SUM(Noviembre!$H31:$AL31)</f>
        <v>446</v>
      </c>
      <c r="E31" s="33">
        <f t="shared" si="6"/>
        <v>-446</v>
      </c>
      <c r="F31" s="34"/>
      <c r="H31" s="72"/>
      <c r="I31" s="72">
        <v>250.0</v>
      </c>
      <c r="J31" s="72"/>
      <c r="K31" s="72"/>
      <c r="L31" s="72">
        <v>25.0</v>
      </c>
      <c r="M31" s="72"/>
      <c r="N31" s="72">
        <v>86.0</v>
      </c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>
        <v>24.0</v>
      </c>
      <c r="AA31" s="72"/>
      <c r="AB31" s="72"/>
      <c r="AC31" s="72"/>
      <c r="AD31" s="72"/>
      <c r="AE31" s="72"/>
      <c r="AF31" s="72">
        <v>35.0</v>
      </c>
      <c r="AG31" s="72">
        <v>26.0</v>
      </c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SUM(Noviembre!$H32:$AL32)</f>
        <v>1571</v>
      </c>
      <c r="E32" s="33">
        <f t="shared" si="6"/>
        <v>-1571</v>
      </c>
      <c r="F32" s="34"/>
      <c r="H32" s="72"/>
      <c r="I32" s="72"/>
      <c r="J32" s="72"/>
      <c r="K32" s="72"/>
      <c r="L32" s="72"/>
      <c r="M32" s="72"/>
      <c r="N32" s="72"/>
      <c r="O32" s="72"/>
      <c r="P32" s="72">
        <v>80.0</v>
      </c>
      <c r="Q32" s="72">
        <v>585.0</v>
      </c>
      <c r="R32" s="72"/>
      <c r="S32" s="72">
        <v>40.0</v>
      </c>
      <c r="T32" s="72"/>
      <c r="U32" s="72"/>
      <c r="V32" s="72">
        <v>200.0</v>
      </c>
      <c r="W32" s="72"/>
      <c r="X32" s="72"/>
      <c r="Y32" s="72"/>
      <c r="Z32" s="72"/>
      <c r="AA32" s="72">
        <v>36.0</v>
      </c>
      <c r="AB32" s="72">
        <v>50.0</v>
      </c>
      <c r="AC32" s="72">
        <v>380.0</v>
      </c>
      <c r="AD32" s="72"/>
      <c r="AE32" s="72"/>
      <c r="AF32" s="72"/>
      <c r="AG32" s="72"/>
      <c r="AH32" s="72"/>
      <c r="AI32" s="72"/>
      <c r="AJ32" s="72">
        <v>200.0</v>
      </c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SUM(Noviembre!$H33:$AL33)</f>
        <v>367</v>
      </c>
      <c r="E33" s="33">
        <f t="shared" si="6"/>
        <v>-367</v>
      </c>
      <c r="F33" s="34"/>
      <c r="H33" s="72">
        <v>200.0</v>
      </c>
      <c r="I33" s="72"/>
      <c r="J33" s="72"/>
      <c r="K33" s="72">
        <v>41.0</v>
      </c>
      <c r="L33" s="72"/>
      <c r="M33" s="72"/>
      <c r="N33" s="72"/>
      <c r="O33" s="72">
        <v>90.0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>
        <v>36.0</v>
      </c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SUM(Noviembre!$H34:$AL34)</f>
        <v>0</v>
      </c>
      <c r="E34" s="33">
        <f t="shared" si="6"/>
        <v>0</v>
      </c>
      <c r="F34" s="34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SUM(Noviembre!$H35:$AL35)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1200</v>
      </c>
      <c r="D37" s="31">
        <f t="shared" si="7"/>
        <v>1042</v>
      </c>
      <c r="E37" s="31">
        <f t="shared" si="7"/>
        <v>158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SUM(Noviembre!$H38:$AL38)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SUM(Noviembre!$H39:$AL39)</f>
        <v>1042</v>
      </c>
      <c r="E39" s="33">
        <f t="shared" si="8"/>
        <v>-1042</v>
      </c>
      <c r="F39" s="34"/>
      <c r="H39" s="72">
        <v>123.0</v>
      </c>
      <c r="I39" s="72"/>
      <c r="J39" s="72">
        <v>243.0</v>
      </c>
      <c r="K39" s="72"/>
      <c r="L39" s="72"/>
      <c r="M39" s="72"/>
      <c r="N39" s="72"/>
      <c r="O39" s="72"/>
      <c r="P39" s="72">
        <v>476.0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>
        <v>200.0</v>
      </c>
      <c r="AK39" s="72"/>
      <c r="AL39" s="72"/>
    </row>
    <row r="40" ht="15.75" customHeight="1">
      <c r="B40" s="9" t="str">
        <f>Categorias!B36</f>
        <v>Dentista Kary</v>
      </c>
      <c r="C40" s="73">
        <v>600.0</v>
      </c>
      <c r="D40" s="33">
        <f>SUM(Noviembre!$H40:$AL40)</f>
        <v>0</v>
      </c>
      <c r="E40" s="33">
        <f t="shared" si="8"/>
        <v>600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600.0</v>
      </c>
      <c r="D41" s="33">
        <f>SUM(Noviembre!$H41:$AL41)</f>
        <v>0</v>
      </c>
      <c r="E41" s="33">
        <f t="shared" si="8"/>
        <v>600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SUM(Noviembre!$H42:$AL42)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SUM(Noviembre!$H43:$AL43)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7300</v>
      </c>
      <c r="D45" s="31">
        <f t="shared" si="9"/>
        <v>10752</v>
      </c>
      <c r="E45" s="31">
        <f t="shared" si="9"/>
        <v>-3452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SUM(Noviembre!$H46:$AL46)</f>
        <v>0</v>
      </c>
      <c r="E46" s="33">
        <f t="shared" ref="E46:E56" si="10">C46-D46</f>
        <v>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SUM(Noviembre!$H47:$AL47)</f>
        <v>2600</v>
      </c>
      <c r="E47" s="33">
        <f t="shared" si="10"/>
        <v>-2600</v>
      </c>
      <c r="F47" s="34"/>
      <c r="H47" s="72"/>
      <c r="I47" s="72"/>
      <c r="J47" s="72"/>
      <c r="K47" s="72"/>
      <c r="L47" s="72"/>
      <c r="M47" s="72"/>
      <c r="N47" s="72"/>
      <c r="O47" s="72"/>
      <c r="P47" s="72">
        <v>2600.0</v>
      </c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SUM(Noviembre!$H48:$AL48)</f>
        <v>200</v>
      </c>
      <c r="E48" s="33">
        <f t="shared" si="10"/>
        <v>100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>
        <v>200.0</v>
      </c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SUM(Noviembre!$H49:$AL49)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SUM(Noviembre!$H50:$AL50)</f>
        <v>5102</v>
      </c>
      <c r="E50" s="33">
        <f t="shared" si="10"/>
        <v>-5102</v>
      </c>
      <c r="F50" s="34"/>
      <c r="H50" s="72">
        <v>5102.0</v>
      </c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SUM(Noviembre!$H51:$AL51)</f>
        <v>450</v>
      </c>
      <c r="E51" s="33">
        <f t="shared" si="10"/>
        <v>4550</v>
      </c>
      <c r="F51" s="34"/>
      <c r="H51" s="72"/>
      <c r="I51" s="72"/>
      <c r="J51" s="72"/>
      <c r="K51" s="72">
        <v>50.0</v>
      </c>
      <c r="L51" s="72"/>
      <c r="M51" s="72"/>
      <c r="N51" s="72"/>
      <c r="O51" s="72"/>
      <c r="P51" s="72"/>
      <c r="Q51" s="72">
        <v>50.0</v>
      </c>
      <c r="R51" s="72"/>
      <c r="S51" s="72"/>
      <c r="T51" s="72"/>
      <c r="U51" s="72"/>
      <c r="V51" s="72"/>
      <c r="W51" s="72"/>
      <c r="X51" s="72">
        <v>350.0</v>
      </c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SUM(Noviembre!$H52:$AL52)</f>
        <v>2400</v>
      </c>
      <c r="E52" s="33">
        <f t="shared" si="10"/>
        <v>-400</v>
      </c>
      <c r="F52" s="34"/>
      <c r="H52" s="72"/>
      <c r="I52" s="72"/>
      <c r="J52" s="72"/>
      <c r="K52" s="72">
        <v>400.0</v>
      </c>
      <c r="L52" s="72"/>
      <c r="M52" s="72"/>
      <c r="N52" s="72"/>
      <c r="O52" s="72"/>
      <c r="P52" s="72"/>
      <c r="Q52" s="72">
        <v>400.0</v>
      </c>
      <c r="R52" s="72"/>
      <c r="S52" s="72"/>
      <c r="T52" s="72"/>
      <c r="U52" s="72"/>
      <c r="V52" s="72"/>
      <c r="W52" s="72">
        <v>800.0</v>
      </c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>
        <v>800.0</v>
      </c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SUM(Noviembre!$H53:$AL53)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SUM(Noviembre!$H54:$AL54)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SUM(Noviembre!$H55:$AL55)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SUM(Noviembre!$H56:$AL56)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0</v>
      </c>
      <c r="E58" s="31">
        <f t="shared" si="11"/>
        <v>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SUM(Noviembre!$H59:$AL59)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SUM(Noviembre!$H60:$AL60)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SUM(Noviembre!$H61:$AL61)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SUM(Noviembre!$H62:$AL62)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SUM(Noviembre!$H63:$AL63)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SUM(Noviembre!$H64:$AL64)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SUM(Noviembre!$H65:$AL65)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SUM(Noviembre!$H66:$AL66)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750</v>
      </c>
      <c r="D68" s="31">
        <f t="shared" si="13"/>
        <v>280</v>
      </c>
      <c r="E68" s="31">
        <f t="shared" si="13"/>
        <v>470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SUM(Noviembre!$H69:$AL69)</f>
        <v>0</v>
      </c>
      <c r="E69" s="33">
        <f t="shared" ref="E69:E75" si="14">C69-D69</f>
        <v>300</v>
      </c>
      <c r="F69" s="34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SUM(Noviembre!$H70:$AL70)</f>
        <v>0</v>
      </c>
      <c r="E70" s="33">
        <f t="shared" si="14"/>
        <v>250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SUM(Noviembre!$H71:$AL71)</f>
        <v>280</v>
      </c>
      <c r="E71" s="33">
        <f t="shared" si="14"/>
        <v>-80</v>
      </c>
      <c r="F71" s="34"/>
      <c r="H71" s="72"/>
      <c r="I71" s="72"/>
      <c r="J71" s="72"/>
      <c r="K71" s="72"/>
      <c r="L71" s="72"/>
      <c r="M71" s="72"/>
      <c r="N71" s="72"/>
      <c r="O71" s="72"/>
      <c r="P71" s="72"/>
      <c r="Q71" s="72">
        <v>280.0</v>
      </c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SUM(Noviembre!$H72:$AL72)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SUM(Noviembre!$H73:$AL73)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SUM(Noviembre!$H74:$AL74)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SUM(Noviembre!$H75:$AL75)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3500</v>
      </c>
      <c r="D77" s="31">
        <f t="shared" si="15"/>
        <v>7767.34</v>
      </c>
      <c r="E77" s="31">
        <f t="shared" si="15"/>
        <v>-4267.34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SUM(Noviembre!$H78:$AL78)</f>
        <v>3997.34</v>
      </c>
      <c r="E78" s="33">
        <f t="shared" ref="E78:E86" si="16">C78-D78</f>
        <v>-1997.34</v>
      </c>
      <c r="F78" s="34"/>
      <c r="H78" s="72">
        <f>1010+757.34</f>
        <v>1767.34</v>
      </c>
      <c r="I78" s="72"/>
      <c r="J78" s="72"/>
      <c r="K78" s="72"/>
      <c r="L78" s="72"/>
      <c r="M78" s="72"/>
      <c r="N78" s="72"/>
      <c r="O78" s="72"/>
      <c r="P78" s="72"/>
      <c r="Q78" s="72">
        <v>600.0</v>
      </c>
      <c r="R78" s="72">
        <v>810.0</v>
      </c>
      <c r="S78" s="72"/>
      <c r="T78" s="72"/>
      <c r="U78" s="72"/>
      <c r="V78" s="72"/>
      <c r="W78" s="72"/>
      <c r="X78" s="72"/>
      <c r="Y78" s="72"/>
      <c r="Z78" s="72">
        <v>820.0</v>
      </c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SUM(Noviembre!$H79:$AL79)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SUM(Noviembre!$H80:$AL80)</f>
        <v>1259</v>
      </c>
      <c r="E80" s="33">
        <f t="shared" si="16"/>
        <v>241</v>
      </c>
      <c r="F80" s="34"/>
      <c r="H80" s="72"/>
      <c r="I80" s="72">
        <v>159.0</v>
      </c>
      <c r="J80" s="72"/>
      <c r="K80" s="72"/>
      <c r="L80" s="72"/>
      <c r="M80" s="72"/>
      <c r="N80" s="72"/>
      <c r="O80" s="72"/>
      <c r="P80" s="72"/>
      <c r="Q80" s="72"/>
      <c r="R80" s="72">
        <v>1100.0</v>
      </c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SUM(Noviembre!$H81:$AL81)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SUM(Noviembre!$H82:$AL82)</f>
        <v>1006</v>
      </c>
      <c r="E82" s="33">
        <f t="shared" si="16"/>
        <v>-1006</v>
      </c>
      <c r="F82" s="34"/>
      <c r="H82" s="72"/>
      <c r="I82" s="72"/>
      <c r="J82" s="72"/>
      <c r="K82" s="72">
        <v>117.0</v>
      </c>
      <c r="L82" s="72"/>
      <c r="M82" s="72"/>
      <c r="N82" s="72"/>
      <c r="O82" s="72">
        <v>188.0</v>
      </c>
      <c r="P82" s="72"/>
      <c r="Q82" s="72"/>
      <c r="R82" s="72">
        <v>130.0</v>
      </c>
      <c r="S82" s="72"/>
      <c r="T82" s="72"/>
      <c r="U82" s="72"/>
      <c r="V82" s="72">
        <v>200.0</v>
      </c>
      <c r="W82" s="72"/>
      <c r="X82" s="72"/>
      <c r="Y82" s="72"/>
      <c r="Z82" s="72">
        <v>117.0</v>
      </c>
      <c r="AA82" s="72"/>
      <c r="AB82" s="72"/>
      <c r="AC82" s="72">
        <v>117.0</v>
      </c>
      <c r="AD82" s="72"/>
      <c r="AE82" s="72"/>
      <c r="AF82" s="72">
        <v>120.0</v>
      </c>
      <c r="AG82" s="72"/>
      <c r="AH82" s="72"/>
      <c r="AI82" s="72"/>
      <c r="AJ82" s="72">
        <v>17.0</v>
      </c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SUM(Noviembre!$H83:$AL83)</f>
        <v>1465</v>
      </c>
      <c r="E83" s="33">
        <f t="shared" si="16"/>
        <v>-1465</v>
      </c>
      <c r="F83" s="34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>
        <v>465.0</v>
      </c>
      <c r="Y83" s="72"/>
      <c r="Z83" s="72"/>
      <c r="AA83" s="72"/>
      <c r="AB83" s="72"/>
      <c r="AC83" s="72">
        <v>500.0</v>
      </c>
      <c r="AD83" s="72"/>
      <c r="AE83" s="72"/>
      <c r="AF83" s="72">
        <v>500.0</v>
      </c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SUM(Noviembre!$H84:$AL84)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SUM(Noviembre!$H85:$AL85)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SUM(Noviembre!$H86:$AL86)</f>
        <v>40</v>
      </c>
      <c r="E86" s="33">
        <f t="shared" si="16"/>
        <v>-40</v>
      </c>
      <c r="F86" s="34"/>
      <c r="H86" s="72"/>
      <c r="I86" s="72"/>
      <c r="J86" s="72"/>
      <c r="K86" s="72"/>
      <c r="L86" s="72"/>
      <c r="M86" s="72"/>
      <c r="N86" s="72">
        <v>40.0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140</v>
      </c>
      <c r="D88" s="31">
        <f t="shared" si="17"/>
        <v>425</v>
      </c>
      <c r="E88" s="31">
        <f t="shared" si="17"/>
        <v>-285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SUM(Noviembre!$H89:$AL89)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140.0</v>
      </c>
      <c r="D90" s="33">
        <f>SUM(Noviembre!$H90:$AL90)</f>
        <v>160</v>
      </c>
      <c r="E90" s="33">
        <f t="shared" si="18"/>
        <v>-20</v>
      </c>
      <c r="F90" s="34"/>
      <c r="H90" s="72">
        <v>160.0</v>
      </c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SUM(Noviembre!$H91:$AL91)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SUM(Noviembre!$H92:$AL92)</f>
        <v>265</v>
      </c>
      <c r="E92" s="33">
        <f t="shared" si="18"/>
        <v>-265</v>
      </c>
      <c r="F92" s="34"/>
      <c r="H92" s="72">
        <v>145.0</v>
      </c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>
        <v>120.0</v>
      </c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SUM(Noviembre!$H93:$AL93)</f>
        <v>0</v>
      </c>
      <c r="E93" s="33">
        <f t="shared" si="18"/>
        <v>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SUM(Noviembre!$H94:$AL94)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SUM(Noviembre!$H95:$AL95)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3600</v>
      </c>
      <c r="E97" s="31">
        <f t="shared" si="19"/>
        <v>-3600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SUM(Noviembre!$H98:$AL98)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SUM(Noviembre!$H99:$AL99)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SUM(Noviembre!$H100:$AL100)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SUM(Noviembre!$H101:$AL101)</f>
        <v>3600</v>
      </c>
      <c r="E101" s="33">
        <f t="shared" si="20"/>
        <v>-3600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>
        <v>3600.0</v>
      </c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SUM(Noviembre!$H102:$AL102)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SUM(Noviembre!$H103:$AL103)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SUM(Noviembre!$H104:$AL104)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SUM(Noviembre!$H105:$AL105)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400</v>
      </c>
      <c r="E107" s="31">
        <f t="shared" si="21"/>
        <v>-400</v>
      </c>
      <c r="F107" s="3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</row>
    <row r="108" ht="15.75" customHeight="1">
      <c r="B108" s="9" t="str">
        <f>Categorias!B106</f>
        <v>Libros</v>
      </c>
      <c r="C108" s="73">
        <v>0.0</v>
      </c>
      <c r="D108" s="33">
        <f>SUM(Noviembre!$H115:$AL115)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SUM(Noviembre!$H116:$AL116)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SUM(Noviembre!$H117:$AL117)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SUM(Noviembre!$H118:$AL118)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>
        <v>1400.0</v>
      </c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SUM(Noviembre!$H119:$AL119)</f>
        <v>400</v>
      </c>
      <c r="E112" s="33">
        <f t="shared" si="22"/>
        <v>-400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SUM(Noviembre!$H120:$AL120)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>
        <v>410.0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68" t="s">
        <v>95</v>
      </c>
      <c r="I114" s="68" t="s">
        <v>96</v>
      </c>
      <c r="J114" s="68" t="s">
        <v>97</v>
      </c>
      <c r="K114" s="68" t="s">
        <v>98</v>
      </c>
      <c r="L114" s="68" t="s">
        <v>99</v>
      </c>
      <c r="M114" s="68" t="s">
        <v>100</v>
      </c>
      <c r="N114" s="68" t="s">
        <v>101</v>
      </c>
      <c r="O114" s="68" t="s">
        <v>102</v>
      </c>
      <c r="P114" s="68" t="s">
        <v>103</v>
      </c>
      <c r="Q114" s="68" t="s">
        <v>104</v>
      </c>
      <c r="R114" s="68" t="s">
        <v>105</v>
      </c>
      <c r="S114" s="68" t="s">
        <v>106</v>
      </c>
      <c r="T114" s="68" t="s">
        <v>107</v>
      </c>
      <c r="U114" s="68" t="s">
        <v>108</v>
      </c>
      <c r="V114" s="68" t="s">
        <v>109</v>
      </c>
      <c r="W114" s="68" t="s">
        <v>110</v>
      </c>
      <c r="X114" s="68" t="s">
        <v>111</v>
      </c>
      <c r="Y114" s="68" t="s">
        <v>112</v>
      </c>
      <c r="Z114" s="68" t="s">
        <v>113</v>
      </c>
      <c r="AA114" s="68" t="s">
        <v>114</v>
      </c>
      <c r="AB114" s="68" t="s">
        <v>115</v>
      </c>
      <c r="AC114" s="68" t="s">
        <v>116</v>
      </c>
      <c r="AD114" s="68" t="s">
        <v>117</v>
      </c>
      <c r="AE114" s="68" t="s">
        <v>118</v>
      </c>
      <c r="AF114" s="68" t="s">
        <v>119</v>
      </c>
      <c r="AG114" s="68" t="s">
        <v>120</v>
      </c>
      <c r="AH114" s="68" t="s">
        <v>121</v>
      </c>
      <c r="AI114" s="68" t="s">
        <v>122</v>
      </c>
      <c r="AJ114" s="68" t="s">
        <v>123</v>
      </c>
      <c r="AK114" s="68" t="s">
        <v>124</v>
      </c>
      <c r="AL114" s="68" t="s">
        <v>125</v>
      </c>
    </row>
    <row r="115" ht="15.75" customHeight="1">
      <c r="B115" s="8" t="str">
        <f>Categorias!B113</f>
        <v>DIVERSIÓN</v>
      </c>
      <c r="C115" s="31">
        <f t="shared" ref="C115:E115" si="23">SUM(C116:C124)</f>
        <v>1300</v>
      </c>
      <c r="D115" s="31">
        <f t="shared" si="23"/>
        <v>582</v>
      </c>
      <c r="E115" s="31">
        <f t="shared" si="23"/>
        <v>718</v>
      </c>
      <c r="F115" s="3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</row>
    <row r="116" ht="15.75" customHeight="1">
      <c r="B116" s="9" t="str">
        <f>Categorias!B114</f>
        <v>Cine/teatro</v>
      </c>
      <c r="C116" s="73">
        <v>0.0</v>
      </c>
      <c r="D116" s="33">
        <f>SUM(Noviembre!$H123:$AL123)</f>
        <v>382</v>
      </c>
      <c r="E116" s="33">
        <f t="shared" ref="E116:E124" si="24">C116-D116</f>
        <v>-382</v>
      </c>
      <c r="F116" s="34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1300.0</v>
      </c>
      <c r="D117" s="33">
        <f>SUM(Noviembre!$H124:$AL124)</f>
        <v>0</v>
      </c>
      <c r="E117" s="33">
        <f t="shared" si="24"/>
        <v>1300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SUM(Noviembre!$H125:$AL125)</f>
        <v>0</v>
      </c>
      <c r="E118" s="33">
        <f t="shared" si="24"/>
        <v>0</v>
      </c>
      <c r="F118" s="34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SUM(Noviembre!$H126:$AL126)</f>
        <v>0</v>
      </c>
      <c r="E119" s="33">
        <f t="shared" si="24"/>
        <v>0</v>
      </c>
      <c r="F119" s="34"/>
      <c r="H119" s="72">
        <v>400.0</v>
      </c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SUM(Noviembre!$H127:$AL127)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SUM(Noviembre!$H128:$AL128)</f>
        <v>0</v>
      </c>
      <c r="E121" s="33">
        <f t="shared" si="24"/>
        <v>0</v>
      </c>
      <c r="F121" s="34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</row>
    <row r="122" ht="15.75" customHeight="1">
      <c r="B122" s="9" t="str">
        <f>Categorias!B120</f>
        <v>-</v>
      </c>
      <c r="C122" s="73">
        <v>0.0</v>
      </c>
      <c r="D122" s="33">
        <f>SUM(Noviembre!$H129:$AL129)</f>
        <v>0</v>
      </c>
      <c r="E122" s="33">
        <f t="shared" si="24"/>
        <v>0</v>
      </c>
      <c r="F122" s="34"/>
      <c r="H122" s="68" t="s">
        <v>95</v>
      </c>
      <c r="I122" s="68" t="s">
        <v>96</v>
      </c>
      <c r="J122" s="68" t="s">
        <v>97</v>
      </c>
      <c r="K122" s="68" t="s">
        <v>98</v>
      </c>
      <c r="L122" s="68" t="s">
        <v>99</v>
      </c>
      <c r="M122" s="68" t="s">
        <v>100</v>
      </c>
      <c r="N122" s="68" t="s">
        <v>101</v>
      </c>
      <c r="O122" s="68" t="s">
        <v>102</v>
      </c>
      <c r="P122" s="68" t="s">
        <v>103</v>
      </c>
      <c r="Q122" s="68" t="s">
        <v>104</v>
      </c>
      <c r="R122" s="68" t="s">
        <v>105</v>
      </c>
      <c r="S122" s="68" t="s">
        <v>106</v>
      </c>
      <c r="T122" s="68" t="s">
        <v>107</v>
      </c>
      <c r="U122" s="68" t="s">
        <v>108</v>
      </c>
      <c r="V122" s="68" t="s">
        <v>109</v>
      </c>
      <c r="W122" s="68" t="s">
        <v>110</v>
      </c>
      <c r="X122" s="68" t="s">
        <v>111</v>
      </c>
      <c r="Y122" s="68" t="s">
        <v>112</v>
      </c>
      <c r="Z122" s="68" t="s">
        <v>113</v>
      </c>
      <c r="AA122" s="68" t="s">
        <v>114</v>
      </c>
      <c r="AB122" s="68" t="s">
        <v>115</v>
      </c>
      <c r="AC122" s="68" t="s">
        <v>116</v>
      </c>
      <c r="AD122" s="68" t="s">
        <v>117</v>
      </c>
      <c r="AE122" s="68" t="s">
        <v>118</v>
      </c>
      <c r="AF122" s="68" t="s">
        <v>119</v>
      </c>
      <c r="AG122" s="68" t="s">
        <v>120</v>
      </c>
      <c r="AH122" s="68" t="s">
        <v>121</v>
      </c>
      <c r="AI122" s="68" t="s">
        <v>122</v>
      </c>
      <c r="AJ122" s="68" t="s">
        <v>123</v>
      </c>
      <c r="AK122" s="68" t="s">
        <v>124</v>
      </c>
      <c r="AL122" s="68" t="s">
        <v>125</v>
      </c>
    </row>
    <row r="123" ht="15.75" customHeight="1">
      <c r="B123" s="9" t="str">
        <f>Categorias!B121</f>
        <v>-</v>
      </c>
      <c r="C123" s="73">
        <v>0.0</v>
      </c>
      <c r="D123" s="33">
        <f>SUM(Noviembre!$H130:$AL130)</f>
        <v>200</v>
      </c>
      <c r="E123" s="33">
        <f t="shared" si="24"/>
        <v>-200</v>
      </c>
      <c r="F123" s="34"/>
      <c r="H123" s="72">
        <v>382.0</v>
      </c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SUM(Noviembre!$H131:$AL131)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</row>
    <row r="126" ht="15.75" customHeight="1">
      <c r="B126" s="8" t="str">
        <f>Categorias!B124</f>
        <v>DEUDAS</v>
      </c>
      <c r="C126" s="31">
        <f t="shared" ref="C126:E126" si="25">SUM(C127:C134)</f>
        <v>4600</v>
      </c>
      <c r="D126" s="31">
        <f t="shared" si="25"/>
        <v>514</v>
      </c>
      <c r="E126" s="31">
        <f t="shared" si="25"/>
        <v>4086</v>
      </c>
      <c r="F126" s="3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</row>
    <row r="127" ht="15.75" customHeight="1">
      <c r="B127" s="9" t="str">
        <f>Categorias!B125</f>
        <v>Anualidad Prestige</v>
      </c>
      <c r="C127" s="73">
        <v>3200.0</v>
      </c>
      <c r="D127" s="33">
        <f>SUM(Noviembre!$H134:$AL134)</f>
        <v>0</v>
      </c>
      <c r="E127" s="33">
        <f t="shared" ref="E127:E134" si="26">C127-D127</f>
        <v>3200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700.0</v>
      </c>
      <c r="D128" s="33">
        <f>SUM(Noviembre!$H135:$AL135)</f>
        <v>514</v>
      </c>
      <c r="E128" s="33">
        <f t="shared" si="26"/>
        <v>186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SUM(Noviembre!$H136:$AL136)</f>
        <v>0</v>
      </c>
      <c r="E129" s="33">
        <f t="shared" si="26"/>
        <v>700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SUM(Noviembre!$H137:$AL137)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>
        <v>200.0</v>
      </c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SUM(Noviembre!$H138:$AL138)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SUM(Noviembre!$H139:$AL139)</f>
        <v>0</v>
      </c>
      <c r="E132" s="33">
        <f t="shared" si="26"/>
        <v>0</v>
      </c>
      <c r="F132" s="34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</row>
    <row r="133" ht="15.75" customHeight="1">
      <c r="B133" s="9" t="str">
        <f>Categorias!B131</f>
        <v>-</v>
      </c>
      <c r="C133" s="73">
        <v>0.0</v>
      </c>
      <c r="D133" s="33">
        <f>SUM(Noviembre!$H140:$AL140)</f>
        <v>0</v>
      </c>
      <c r="E133" s="33">
        <f t="shared" si="26"/>
        <v>0</v>
      </c>
      <c r="F133" s="34"/>
      <c r="H133" s="68" t="s">
        <v>95</v>
      </c>
      <c r="I133" s="68" t="s">
        <v>96</v>
      </c>
      <c r="J133" s="68" t="s">
        <v>97</v>
      </c>
      <c r="K133" s="68" t="s">
        <v>98</v>
      </c>
      <c r="L133" s="68" t="s">
        <v>99</v>
      </c>
      <c r="M133" s="68" t="s">
        <v>100</v>
      </c>
      <c r="N133" s="68" t="s">
        <v>101</v>
      </c>
      <c r="O133" s="68" t="s">
        <v>102</v>
      </c>
      <c r="P133" s="68" t="s">
        <v>103</v>
      </c>
      <c r="Q133" s="68" t="s">
        <v>104</v>
      </c>
      <c r="R133" s="68" t="s">
        <v>105</v>
      </c>
      <c r="S133" s="68" t="s">
        <v>106</v>
      </c>
      <c r="T133" s="68" t="s">
        <v>107</v>
      </c>
      <c r="U133" s="68" t="s">
        <v>108</v>
      </c>
      <c r="V133" s="68" t="s">
        <v>109</v>
      </c>
      <c r="W133" s="68" t="s">
        <v>110</v>
      </c>
      <c r="X133" s="68" t="s">
        <v>111</v>
      </c>
      <c r="Y133" s="68" t="s">
        <v>112</v>
      </c>
      <c r="Z133" s="68" t="s">
        <v>113</v>
      </c>
      <c r="AA133" s="68" t="s">
        <v>114</v>
      </c>
      <c r="AB133" s="68" t="s">
        <v>115</v>
      </c>
      <c r="AC133" s="68" t="s">
        <v>116</v>
      </c>
      <c r="AD133" s="68" t="s">
        <v>117</v>
      </c>
      <c r="AE133" s="68" t="s">
        <v>118</v>
      </c>
      <c r="AF133" s="68" t="s">
        <v>119</v>
      </c>
      <c r="AG133" s="68" t="s">
        <v>120</v>
      </c>
      <c r="AH133" s="68" t="s">
        <v>121</v>
      </c>
      <c r="AI133" s="68" t="s">
        <v>122</v>
      </c>
      <c r="AJ133" s="68" t="s">
        <v>123</v>
      </c>
      <c r="AK133" s="68" t="s">
        <v>124</v>
      </c>
      <c r="AL133" s="68" t="s">
        <v>125</v>
      </c>
    </row>
    <row r="134" ht="15.75" customHeight="1">
      <c r="B134" s="9" t="str">
        <f>Categorias!B132</f>
        <v>-</v>
      </c>
      <c r="C134" s="73">
        <v>0.0</v>
      </c>
      <c r="D134" s="33">
        <f>SUM(Noviembre!$H141:$AL141)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>
        <v>514.0</v>
      </c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</row>
    <row r="136" ht="15.75" customHeight="1">
      <c r="B136" s="8" t="str">
        <f>Categorias!B134</f>
        <v>OTROS GASTOS</v>
      </c>
      <c r="C136" s="31">
        <f t="shared" ref="C136:E136" si="27">SUM(C137:C144)</f>
        <v>400</v>
      </c>
      <c r="D136" s="31">
        <f t="shared" si="27"/>
        <v>813</v>
      </c>
      <c r="E136" s="31">
        <f t="shared" si="27"/>
        <v>-413</v>
      </c>
      <c r="F136" s="3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</row>
    <row r="137" ht="15.75" customHeight="1">
      <c r="B137" s="9" t="str">
        <f>Categorias!B135</f>
        <v>Regalos</v>
      </c>
      <c r="C137" s="73">
        <v>0.0</v>
      </c>
      <c r="D137" s="33">
        <f>SUM(Noviembre!$H144:$AL144)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SUM(Noviembre!$H145:$AL145)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200.0</v>
      </c>
      <c r="D139" s="33">
        <f>SUM(Noviembre!$H146:$AL146)</f>
        <v>0</v>
      </c>
      <c r="E139" s="33">
        <f t="shared" si="28"/>
        <v>200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200.0</v>
      </c>
      <c r="D140" s="33">
        <f>SUM(Noviembre!$H147:$AL147)</f>
        <v>813</v>
      </c>
      <c r="E140" s="33">
        <f t="shared" si="28"/>
        <v>-613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SUM(Noviembre!$H148:$AL148)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SUM(Noviembre!$H149:$AL149)</f>
        <v>0</v>
      </c>
      <c r="E142" s="33">
        <f t="shared" si="28"/>
        <v>0</v>
      </c>
      <c r="F142" s="34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</row>
    <row r="143" ht="15.75" customHeight="1">
      <c r="B143" s="9" t="str">
        <f>Categorias!B141</f>
        <v>-</v>
      </c>
      <c r="C143" s="73">
        <v>0.0</v>
      </c>
      <c r="D143" s="33">
        <f>SUM(Noviembre!$H150:$AL150)</f>
        <v>0</v>
      </c>
      <c r="E143" s="33">
        <f t="shared" si="28"/>
        <v>0</v>
      </c>
      <c r="F143" s="34"/>
      <c r="H143" s="68" t="s">
        <v>95</v>
      </c>
      <c r="I143" s="68" t="s">
        <v>96</v>
      </c>
      <c r="J143" s="68" t="s">
        <v>97</v>
      </c>
      <c r="K143" s="68" t="s">
        <v>98</v>
      </c>
      <c r="L143" s="68" t="s">
        <v>99</v>
      </c>
      <c r="M143" s="68" t="s">
        <v>100</v>
      </c>
      <c r="N143" s="68" t="s">
        <v>101</v>
      </c>
      <c r="O143" s="68" t="s">
        <v>102</v>
      </c>
      <c r="P143" s="68" t="s">
        <v>103</v>
      </c>
      <c r="Q143" s="68" t="s">
        <v>104</v>
      </c>
      <c r="R143" s="68" t="s">
        <v>105</v>
      </c>
      <c r="S143" s="68" t="s">
        <v>106</v>
      </c>
      <c r="T143" s="68" t="s">
        <v>107</v>
      </c>
      <c r="U143" s="68" t="s">
        <v>108</v>
      </c>
      <c r="V143" s="68" t="s">
        <v>109</v>
      </c>
      <c r="W143" s="68" t="s">
        <v>110</v>
      </c>
      <c r="X143" s="68" t="s">
        <v>111</v>
      </c>
      <c r="Y143" s="68" t="s">
        <v>112</v>
      </c>
      <c r="Z143" s="68" t="s">
        <v>113</v>
      </c>
      <c r="AA143" s="68" t="s">
        <v>114</v>
      </c>
      <c r="AB143" s="68" t="s">
        <v>115</v>
      </c>
      <c r="AC143" s="68" t="s">
        <v>116</v>
      </c>
      <c r="AD143" s="68" t="s">
        <v>117</v>
      </c>
      <c r="AE143" s="68" t="s">
        <v>118</v>
      </c>
      <c r="AF143" s="68" t="s">
        <v>119</v>
      </c>
      <c r="AG143" s="68" t="s">
        <v>120</v>
      </c>
      <c r="AH143" s="68" t="s">
        <v>121</v>
      </c>
      <c r="AI143" s="68" t="s">
        <v>122</v>
      </c>
      <c r="AJ143" s="68" t="s">
        <v>123</v>
      </c>
      <c r="AK143" s="68" t="s">
        <v>124</v>
      </c>
      <c r="AL143" s="68" t="s">
        <v>125</v>
      </c>
    </row>
    <row r="144" ht="15.75" customHeight="1">
      <c r="B144" s="9" t="str">
        <f>Categorias!B142</f>
        <v>-</v>
      </c>
      <c r="C144" s="73">
        <v>0.0</v>
      </c>
      <c r="D144" s="33">
        <f>SUM(Noviembre!$H151:$AL151)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</row>
    <row r="146" ht="15.75" customHeight="1">
      <c r="B146" s="8" t="str">
        <f>Categorias!B144</f>
        <v>AHORROS</v>
      </c>
      <c r="C146" s="31">
        <f t="shared" ref="C146:E146" si="29">SUM(C147:C156)</f>
        <v>2000</v>
      </c>
      <c r="D146" s="31">
        <f t="shared" si="29"/>
        <v>100</v>
      </c>
      <c r="E146" s="31">
        <f t="shared" si="29"/>
        <v>1900</v>
      </c>
      <c r="F146" s="3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</row>
    <row r="147" ht="15.75" customHeight="1">
      <c r="B147" s="9" t="str">
        <f>Categorias!B145</f>
        <v>Ahorro Inversion</v>
      </c>
      <c r="C147" s="73">
        <v>2000.0</v>
      </c>
      <c r="D147" s="33">
        <f>SUM(Noviembre!$H154:$AL154)</f>
        <v>0</v>
      </c>
      <c r="E147" s="33">
        <f t="shared" ref="E147:E156" si="30">C147-D147</f>
        <v>2000</v>
      </c>
      <c r="F147" s="34"/>
      <c r="H147" s="72">
        <v>813.0</v>
      </c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SUM(Noviembre!$H155:$AL155)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SUM(Noviembre!$H156:$AL156)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SUM(Noviembre!$H157:$AL157)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SUM(Noviembre!$H158:$AL158)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SUM(Noviembre!$H159:$AL159)</f>
        <v>100</v>
      </c>
      <c r="E152" s="33">
        <f t="shared" si="30"/>
        <v>-100</v>
      </c>
      <c r="F152" s="34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</row>
    <row r="153" ht="15.75" customHeight="1">
      <c r="B153" s="9" t="str">
        <f>Categorias!B151</f>
        <v>-</v>
      </c>
      <c r="C153" s="73">
        <v>0.0</v>
      </c>
      <c r="D153" s="33">
        <f>SUM(Noviembre!$H160:$AL160)</f>
        <v>0</v>
      </c>
      <c r="E153" s="33">
        <f t="shared" si="30"/>
        <v>0</v>
      </c>
      <c r="F153" s="34"/>
      <c r="H153" s="68" t="s">
        <v>95</v>
      </c>
      <c r="I153" s="68" t="s">
        <v>96</v>
      </c>
      <c r="J153" s="68" t="s">
        <v>97</v>
      </c>
      <c r="K153" s="68" t="s">
        <v>98</v>
      </c>
      <c r="L153" s="68" t="s">
        <v>99</v>
      </c>
      <c r="M153" s="68" t="s">
        <v>100</v>
      </c>
      <c r="N153" s="68" t="s">
        <v>101</v>
      </c>
      <c r="O153" s="68" t="s">
        <v>102</v>
      </c>
      <c r="P153" s="68" t="s">
        <v>103</v>
      </c>
      <c r="Q153" s="68" t="s">
        <v>104</v>
      </c>
      <c r="R153" s="68" t="s">
        <v>105</v>
      </c>
      <c r="S153" s="68" t="s">
        <v>106</v>
      </c>
      <c r="T153" s="68" t="s">
        <v>107</v>
      </c>
      <c r="U153" s="68" t="s">
        <v>108</v>
      </c>
      <c r="V153" s="68" t="s">
        <v>109</v>
      </c>
      <c r="W153" s="68" t="s">
        <v>110</v>
      </c>
      <c r="X153" s="68" t="s">
        <v>111</v>
      </c>
      <c r="Y153" s="68" t="s">
        <v>112</v>
      </c>
      <c r="Z153" s="68" t="s">
        <v>113</v>
      </c>
      <c r="AA153" s="68" t="s">
        <v>114</v>
      </c>
      <c r="AB153" s="68" t="s">
        <v>115</v>
      </c>
      <c r="AC153" s="68" t="s">
        <v>116</v>
      </c>
      <c r="AD153" s="68" t="s">
        <v>117</v>
      </c>
      <c r="AE153" s="68" t="s">
        <v>118</v>
      </c>
      <c r="AF153" s="68" t="s">
        <v>119</v>
      </c>
      <c r="AG153" s="68" t="s">
        <v>120</v>
      </c>
      <c r="AH153" s="68" t="s">
        <v>121</v>
      </c>
      <c r="AI153" s="68" t="s">
        <v>122</v>
      </c>
      <c r="AJ153" s="68" t="s">
        <v>123</v>
      </c>
      <c r="AK153" s="68" t="s">
        <v>124</v>
      </c>
      <c r="AL153" s="68" t="s">
        <v>125</v>
      </c>
    </row>
    <row r="154" ht="15.75" customHeight="1">
      <c r="B154" s="9" t="str">
        <f>Categorias!B152</f>
        <v>-</v>
      </c>
      <c r="C154" s="73">
        <v>0.0</v>
      </c>
      <c r="D154" s="33">
        <f>SUM(Noviembre!$H161:$AL161)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SUM(Noviembre!$H162:$AL162)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SUM(Noviembre!$H163:$AL163)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617</v>
      </c>
      <c r="E158" s="31">
        <f t="shared" si="31"/>
        <v>-617</v>
      </c>
      <c r="F158" s="3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</row>
    <row r="159" ht="15.75" customHeight="1">
      <c r="B159" s="9" t="str">
        <f>Categorias!B157</f>
        <v>-</v>
      </c>
      <c r="C159" s="73">
        <v>0.0</v>
      </c>
      <c r="D159" s="33">
        <f>SUM(Noviembre!$H166:$AL166)</f>
        <v>617</v>
      </c>
      <c r="E159" s="33">
        <f t="shared" ref="E159:E166" si="32">C159-D159</f>
        <v>-617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>
        <v>100.0</v>
      </c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SUM(Noviembre!$H167:$AL167)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SUM(Noviembre!$H168:$AL168)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SUM(Noviembre!$H169:$AL169)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SUM(Noviembre!$H170:$AL170)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SUM(Noviembre!$H171:$AL171)</f>
        <v>0</v>
      </c>
      <c r="E164" s="33">
        <f t="shared" si="32"/>
        <v>0</v>
      </c>
      <c r="F164" s="34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ht="15.75" customHeight="1">
      <c r="B165" s="9" t="str">
        <f>Categorias!B163</f>
        <v>-</v>
      </c>
      <c r="C165" s="73">
        <v>0.0</v>
      </c>
      <c r="D165" s="33">
        <f>SUM(Noviembre!$H172:$AL172)</f>
        <v>0</v>
      </c>
      <c r="E165" s="33">
        <f t="shared" si="32"/>
        <v>0</v>
      </c>
      <c r="F165" s="34"/>
      <c r="H165" s="68" t="s">
        <v>95</v>
      </c>
      <c r="I165" s="68" t="s">
        <v>96</v>
      </c>
      <c r="J165" s="68" t="s">
        <v>97</v>
      </c>
      <c r="K165" s="68" t="s">
        <v>98</v>
      </c>
      <c r="L165" s="68" t="s">
        <v>99</v>
      </c>
      <c r="M165" s="68" t="s">
        <v>100</v>
      </c>
      <c r="N165" s="68" t="s">
        <v>101</v>
      </c>
      <c r="O165" s="68" t="s">
        <v>102</v>
      </c>
      <c r="P165" s="68" t="s">
        <v>103</v>
      </c>
      <c r="Q165" s="68" t="s">
        <v>104</v>
      </c>
      <c r="R165" s="68" t="s">
        <v>105</v>
      </c>
      <c r="S165" s="68" t="s">
        <v>106</v>
      </c>
      <c r="T165" s="68" t="s">
        <v>107</v>
      </c>
      <c r="U165" s="68" t="s">
        <v>108</v>
      </c>
      <c r="V165" s="68" t="s">
        <v>109</v>
      </c>
      <c r="W165" s="68" t="s">
        <v>110</v>
      </c>
      <c r="X165" s="68" t="s">
        <v>111</v>
      </c>
      <c r="Y165" s="68" t="s">
        <v>112</v>
      </c>
      <c r="Z165" s="68" t="s">
        <v>113</v>
      </c>
      <c r="AA165" s="68" t="s">
        <v>114</v>
      </c>
      <c r="AB165" s="68" t="s">
        <v>115</v>
      </c>
      <c r="AC165" s="68" t="s">
        <v>116</v>
      </c>
      <c r="AD165" s="68" t="s">
        <v>117</v>
      </c>
      <c r="AE165" s="68" t="s">
        <v>118</v>
      </c>
      <c r="AF165" s="68" t="s">
        <v>119</v>
      </c>
      <c r="AG165" s="68" t="s">
        <v>120</v>
      </c>
      <c r="AH165" s="68" t="s">
        <v>121</v>
      </c>
      <c r="AI165" s="68" t="s">
        <v>122</v>
      </c>
      <c r="AJ165" s="68" t="s">
        <v>123</v>
      </c>
      <c r="AK165" s="68" t="s">
        <v>124</v>
      </c>
      <c r="AL165" s="68" t="s">
        <v>125</v>
      </c>
    </row>
    <row r="166" ht="15.75" customHeight="1">
      <c r="B166" s="9" t="str">
        <f>Categorias!B164</f>
        <v>-</v>
      </c>
      <c r="C166" s="73">
        <v>0.0</v>
      </c>
      <c r="D166" s="33">
        <f>SUM(Noviembre!$H173:$AL173)</f>
        <v>0</v>
      </c>
      <c r="E166" s="33">
        <f t="shared" si="32"/>
        <v>0</v>
      </c>
      <c r="F166" s="34"/>
      <c r="H166" s="72">
        <v>617.0</v>
      </c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24190</v>
      </c>
      <c r="D169" s="47">
        <f t="shared" si="33"/>
        <v>32167.34</v>
      </c>
      <c r="E169" s="47">
        <f t="shared" si="33"/>
        <v>-7977.34</v>
      </c>
      <c r="F169" s="45"/>
      <c r="G169" s="45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</row>
    <row r="170" ht="15.75" customHeight="1"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</row>
    <row r="171" ht="15.75" customHeight="1"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</row>
    <row r="172" ht="15.75" customHeight="1">
      <c r="B172" s="15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</row>
    <row r="173" ht="15.75" customHeight="1">
      <c r="B173" s="15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  <c r="H175" s="25" t="s">
        <v>95</v>
      </c>
      <c r="I175" s="25" t="s">
        <v>96</v>
      </c>
      <c r="J175" s="25" t="s">
        <v>97</v>
      </c>
      <c r="K175" s="25" t="s">
        <v>98</v>
      </c>
      <c r="L175" s="25" t="s">
        <v>99</v>
      </c>
      <c r="M175" s="25" t="s">
        <v>100</v>
      </c>
      <c r="N175" s="25" t="s">
        <v>101</v>
      </c>
      <c r="O175" s="25" t="s">
        <v>102</v>
      </c>
      <c r="P175" s="25" t="s">
        <v>103</v>
      </c>
      <c r="Q175" s="25" t="s">
        <v>104</v>
      </c>
      <c r="R175" s="25" t="s">
        <v>105</v>
      </c>
      <c r="S175" s="25" t="s">
        <v>106</v>
      </c>
      <c r="T175" s="25" t="s">
        <v>107</v>
      </c>
      <c r="U175" s="25" t="s">
        <v>108</v>
      </c>
      <c r="V175" s="25" t="s">
        <v>109</v>
      </c>
      <c r="W175" s="25" t="s">
        <v>110</v>
      </c>
      <c r="X175" s="25" t="s">
        <v>111</v>
      </c>
      <c r="Y175" s="25" t="s">
        <v>112</v>
      </c>
      <c r="Z175" s="25" t="s">
        <v>113</v>
      </c>
      <c r="AA175" s="25" t="s">
        <v>114</v>
      </c>
      <c r="AB175" s="25" t="s">
        <v>115</v>
      </c>
      <c r="AC175" s="25" t="s">
        <v>116</v>
      </c>
      <c r="AD175" s="25" t="s">
        <v>117</v>
      </c>
      <c r="AE175" s="25" t="s">
        <v>118</v>
      </c>
      <c r="AF175" s="25" t="s">
        <v>119</v>
      </c>
      <c r="AG175" s="25" t="s">
        <v>120</v>
      </c>
      <c r="AH175" s="25" t="s">
        <v>121</v>
      </c>
      <c r="AI175" s="25" t="s">
        <v>122</v>
      </c>
      <c r="AJ175" s="25" t="s">
        <v>123</v>
      </c>
      <c r="AK175" s="25" t="s">
        <v>124</v>
      </c>
      <c r="AL175" s="25" t="s">
        <v>125</v>
      </c>
    </row>
    <row r="176" ht="15.75" customHeight="1">
      <c r="A176" s="52"/>
      <c r="B176" s="53"/>
      <c r="C176" s="52"/>
      <c r="D176" s="52"/>
      <c r="E176" s="52"/>
      <c r="F176" s="52"/>
      <c r="G176" s="52"/>
      <c r="H176" s="76">
        <f t="shared" ref="H176:AL176" si="34">SUM(H28:H163)</f>
        <v>9632.34</v>
      </c>
      <c r="I176" s="76">
        <f t="shared" si="34"/>
        <v>409</v>
      </c>
      <c r="J176" s="76">
        <f t="shared" si="34"/>
        <v>243</v>
      </c>
      <c r="K176" s="76">
        <f t="shared" si="34"/>
        <v>608</v>
      </c>
      <c r="L176" s="76">
        <f t="shared" si="34"/>
        <v>25</v>
      </c>
      <c r="M176" s="76">
        <f t="shared" si="34"/>
        <v>0</v>
      </c>
      <c r="N176" s="76">
        <f t="shared" si="34"/>
        <v>126</v>
      </c>
      <c r="O176" s="76">
        <f t="shared" si="34"/>
        <v>578</v>
      </c>
      <c r="P176" s="76">
        <f t="shared" si="34"/>
        <v>3356</v>
      </c>
      <c r="Q176" s="76">
        <f t="shared" si="34"/>
        <v>2215</v>
      </c>
      <c r="R176" s="76">
        <f t="shared" si="34"/>
        <v>3135</v>
      </c>
      <c r="S176" s="76">
        <f t="shared" si="34"/>
        <v>70</v>
      </c>
      <c r="T176" s="76">
        <f t="shared" si="34"/>
        <v>3600</v>
      </c>
      <c r="U176" s="76">
        <f t="shared" si="34"/>
        <v>120</v>
      </c>
      <c r="V176" s="76">
        <f t="shared" si="34"/>
        <v>1833</v>
      </c>
      <c r="W176" s="76">
        <f t="shared" si="34"/>
        <v>800</v>
      </c>
      <c r="X176" s="76">
        <f t="shared" si="34"/>
        <v>915</v>
      </c>
      <c r="Y176" s="76">
        <f t="shared" si="34"/>
        <v>0</v>
      </c>
      <c r="Z176" s="76">
        <f t="shared" si="34"/>
        <v>961</v>
      </c>
      <c r="AA176" s="76">
        <f t="shared" si="34"/>
        <v>36</v>
      </c>
      <c r="AB176" s="76">
        <f t="shared" si="34"/>
        <v>637</v>
      </c>
      <c r="AC176" s="76">
        <f t="shared" si="34"/>
        <v>1057</v>
      </c>
      <c r="AD176" s="76">
        <f t="shared" si="34"/>
        <v>190</v>
      </c>
      <c r="AE176" s="76">
        <f t="shared" si="34"/>
        <v>0</v>
      </c>
      <c r="AF176" s="76">
        <f t="shared" si="34"/>
        <v>905</v>
      </c>
      <c r="AG176" s="76">
        <f t="shared" si="34"/>
        <v>62</v>
      </c>
      <c r="AH176" s="76">
        <f t="shared" si="34"/>
        <v>200</v>
      </c>
      <c r="AI176" s="76">
        <f t="shared" si="34"/>
        <v>0</v>
      </c>
      <c r="AJ176" s="76">
        <f t="shared" si="34"/>
        <v>1647</v>
      </c>
      <c r="AK176" s="76">
        <f t="shared" si="34"/>
        <v>0</v>
      </c>
      <c r="AL176" s="76">
        <f t="shared" si="34"/>
        <v>0</v>
      </c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47000</v>
      </c>
      <c r="F177" s="57"/>
      <c r="G177" s="57"/>
    </row>
    <row r="178" ht="15.75" customHeight="1">
      <c r="A178" s="52"/>
      <c r="B178" s="53"/>
      <c r="C178" s="58" t="s">
        <v>85</v>
      </c>
      <c r="E178" s="52">
        <f>C26</f>
        <v>24190</v>
      </c>
      <c r="F178" s="52"/>
      <c r="G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</row>
    <row r="180" ht="18.75" customHeight="1">
      <c r="A180" s="52"/>
      <c r="B180" s="53"/>
      <c r="C180" s="59" t="s">
        <v>133</v>
      </c>
      <c r="D180" s="2"/>
      <c r="E180" s="60">
        <f>E177-E178</f>
        <v>22810</v>
      </c>
      <c r="F180" s="52"/>
      <c r="G180" s="52"/>
    </row>
    <row r="181" ht="15.75" customHeight="1">
      <c r="A181" s="52"/>
      <c r="B181" s="53"/>
      <c r="C181" s="52"/>
      <c r="D181" s="52"/>
      <c r="E181" s="52"/>
      <c r="F181" s="52"/>
      <c r="G181" s="52"/>
    </row>
    <row r="182" ht="15.75" customHeight="1">
      <c r="A182" s="52"/>
      <c r="B182" s="53"/>
      <c r="C182" s="52"/>
      <c r="D182" s="52"/>
      <c r="E182" s="52"/>
      <c r="F182" s="52"/>
      <c r="G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44000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32167.34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</row>
    <row r="187" ht="18.75" customHeight="1">
      <c r="B187" s="12"/>
      <c r="C187" s="62" t="s">
        <v>133</v>
      </c>
      <c r="D187" s="2"/>
      <c r="E187" s="63">
        <f>E184-E185</f>
        <v>11832.66</v>
      </c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</row>
    <row r="188" ht="15.75" customHeight="1">
      <c r="B188" s="1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</row>
    <row r="189" ht="15.75" customHeight="1">
      <c r="B189" s="12"/>
      <c r="H189" s="77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</row>
    <row r="190" ht="15.75" customHeight="1">
      <c r="B190" s="1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</row>
    <row r="191" ht="19.5" customHeight="1">
      <c r="B191" s="12"/>
      <c r="C191" s="64"/>
      <c r="D191" s="65" t="str">
        <f>B28</f>
        <v>ALIMENTOS Y BEBIDAS</v>
      </c>
      <c r="E191" s="66">
        <f>D28</f>
        <v>5275</v>
      </c>
      <c r="H191" s="57"/>
      <c r="I191" s="57"/>
      <c r="J191" s="57"/>
      <c r="K191" s="57"/>
      <c r="L191" s="57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</row>
    <row r="192" ht="19.5" customHeight="1">
      <c r="B192" s="12"/>
      <c r="C192" s="64"/>
      <c r="D192" s="65" t="str">
        <f>B37</f>
        <v>SALUD</v>
      </c>
      <c r="E192" s="66">
        <f>D37</f>
        <v>1042</v>
      </c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</row>
    <row r="193" ht="19.5" customHeight="1">
      <c r="B193" s="12"/>
      <c r="C193" s="64"/>
      <c r="D193" s="65" t="str">
        <f>B45</f>
        <v>CASA</v>
      </c>
      <c r="E193" s="66">
        <f>D45</f>
        <v>10752</v>
      </c>
    </row>
    <row r="194" ht="19.5" customHeight="1">
      <c r="B194" s="12"/>
      <c r="C194" s="64"/>
      <c r="D194" s="65" t="str">
        <f>B58</f>
        <v>ROPA Y CALZADO</v>
      </c>
      <c r="E194" s="66">
        <f>D58</f>
        <v>0</v>
      </c>
    </row>
    <row r="195" ht="19.5" customHeight="1">
      <c r="B195" s="12"/>
      <c r="C195" s="64"/>
      <c r="D195" s="65" t="str">
        <f>B68</f>
        <v>COMUNICACIÓN</v>
      </c>
      <c r="E195" s="66">
        <f>D68</f>
        <v>280</v>
      </c>
    </row>
    <row r="196" ht="19.5" customHeight="1">
      <c r="B196" s="12"/>
      <c r="C196" s="64"/>
      <c r="D196" s="65" t="str">
        <f>B77</f>
        <v>TRANSPORTE</v>
      </c>
      <c r="E196" s="66">
        <f>D77</f>
        <v>7767.34</v>
      </c>
    </row>
    <row r="197" ht="19.5" customHeight="1">
      <c r="B197" s="12"/>
      <c r="C197" s="64"/>
      <c r="D197" s="65" t="str">
        <f>B88</f>
        <v>HIGIENE</v>
      </c>
      <c r="E197" s="66">
        <f>D88</f>
        <v>425</v>
      </c>
    </row>
    <row r="198" ht="19.5" customHeight="1">
      <c r="B198" s="12"/>
      <c r="C198" s="64"/>
      <c r="D198" s="65" t="str">
        <f>B97</f>
        <v>NIÑOS</v>
      </c>
      <c r="E198" s="66">
        <f>D97</f>
        <v>3600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400</v>
      </c>
    </row>
    <row r="200" ht="19.5" customHeight="1">
      <c r="B200" s="12"/>
      <c r="C200" s="64"/>
      <c r="D200" s="65" t="str">
        <f>B115</f>
        <v>DIVERSIÓN</v>
      </c>
      <c r="E200" s="66">
        <f>D115</f>
        <v>582</v>
      </c>
    </row>
    <row r="201" ht="19.5" customHeight="1">
      <c r="B201" s="12"/>
      <c r="C201" s="64"/>
      <c r="D201" s="65" t="str">
        <f>B126</f>
        <v>DEUDAS</v>
      </c>
      <c r="E201" s="66">
        <f>D126</f>
        <v>514</v>
      </c>
    </row>
    <row r="202" ht="19.5" customHeight="1">
      <c r="B202" s="12"/>
      <c r="C202" s="64"/>
      <c r="D202" s="65" t="str">
        <f>B136</f>
        <v>OTROS GASTOS</v>
      </c>
      <c r="E202" s="66">
        <f>D136</f>
        <v>813</v>
      </c>
    </row>
    <row r="203" ht="19.5" customHeight="1">
      <c r="B203" s="12"/>
      <c r="D203" s="65" t="str">
        <f>B146</f>
        <v>AHORROS</v>
      </c>
      <c r="E203" s="66">
        <f>D146</f>
        <v>100</v>
      </c>
    </row>
    <row r="204" ht="19.5" customHeight="1">
      <c r="B204" s="12"/>
      <c r="D204" s="65" t="str">
        <f>B158</f>
        <v>OTROS</v>
      </c>
      <c r="E204" s="66">
        <f>D158</f>
        <v>617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.14"/>
    <col customWidth="1" min="2" max="2" width="28.71"/>
    <col customWidth="1" min="3" max="5" width="15.0"/>
    <col customWidth="1" min="6" max="6" width="27.14"/>
    <col customWidth="1" min="7" max="7" width="9.14"/>
    <col customWidth="1" min="8" max="16" width="12.0"/>
    <col customWidth="1" min="17" max="38" width="13.0"/>
  </cols>
  <sheetData>
    <row r="1">
      <c r="B1" s="12"/>
    </row>
    <row r="2" ht="23.25" customHeight="1">
      <c r="B2" s="17" t="s">
        <v>75</v>
      </c>
      <c r="C2" s="67">
        <v>44531.0</v>
      </c>
      <c r="D2" s="19"/>
    </row>
    <row r="4" ht="60.75" customHeight="1">
      <c r="C4" s="20" t="s">
        <v>94</v>
      </c>
    </row>
    <row r="5">
      <c r="B5" s="12"/>
      <c r="C5" s="21" t="s">
        <v>78</v>
      </c>
      <c r="D5" s="22" t="str">
        <f>HYPERLINK("http://www.aprendizfinanciero.com/","http://www.aprendizfinanciero.com")</f>
        <v>http://www.aprendizfinanciero.com</v>
      </c>
    </row>
    <row r="6" ht="21.0" customHeight="1">
      <c r="B6" s="23" t="s">
        <v>3</v>
      </c>
    </row>
    <row r="7">
      <c r="B7" s="24"/>
    </row>
    <row r="8" ht="30.0" customHeight="1">
      <c r="B8" s="25" t="s">
        <v>79</v>
      </c>
      <c r="C8" s="26" t="s">
        <v>80</v>
      </c>
      <c r="D8" s="26" t="s">
        <v>81</v>
      </c>
      <c r="E8" s="26" t="s">
        <v>82</v>
      </c>
      <c r="F8" s="27" t="s">
        <v>83</v>
      </c>
    </row>
    <row r="9" ht="18.75" customHeight="1">
      <c r="B9" s="28" t="s">
        <v>84</v>
      </c>
      <c r="C9" s="29">
        <f t="shared" ref="C9:E9" si="1">C11</f>
        <v>50000</v>
      </c>
      <c r="D9" s="29">
        <f t="shared" si="1"/>
        <v>25000</v>
      </c>
      <c r="E9" s="29">
        <f t="shared" si="1"/>
        <v>-25000</v>
      </c>
      <c r="F9" s="30"/>
    </row>
    <row r="10">
      <c r="B10" s="15"/>
    </row>
    <row r="11">
      <c r="B11" s="8" t="str">
        <f>Categorias!B11</f>
        <v>INGRESOS TOTALES</v>
      </c>
      <c r="C11" s="31">
        <f t="shared" ref="C11:E11" si="2">SUM(C12:C20)</f>
        <v>50000</v>
      </c>
      <c r="D11" s="31">
        <f t="shared" si="2"/>
        <v>25000</v>
      </c>
      <c r="E11" s="31">
        <f t="shared" si="2"/>
        <v>-25000</v>
      </c>
      <c r="F11" s="32"/>
      <c r="H11" s="68" t="s">
        <v>95</v>
      </c>
      <c r="I11" s="68" t="s">
        <v>96</v>
      </c>
      <c r="J11" s="68" t="s">
        <v>97</v>
      </c>
      <c r="K11" s="68" t="s">
        <v>98</v>
      </c>
      <c r="L11" s="68" t="s">
        <v>99</v>
      </c>
      <c r="M11" s="68" t="s">
        <v>100</v>
      </c>
      <c r="N11" s="68" t="s">
        <v>101</v>
      </c>
      <c r="O11" s="68" t="s">
        <v>102</v>
      </c>
      <c r="P11" s="68" t="s">
        <v>103</v>
      </c>
      <c r="Q11" s="68" t="s">
        <v>104</v>
      </c>
      <c r="R11" s="68" t="s">
        <v>105</v>
      </c>
      <c r="S11" s="68" t="s">
        <v>106</v>
      </c>
      <c r="T11" s="68" t="s">
        <v>107</v>
      </c>
      <c r="U11" s="68" t="s">
        <v>108</v>
      </c>
      <c r="V11" s="68" t="s">
        <v>109</v>
      </c>
      <c r="W11" s="68" t="s">
        <v>110</v>
      </c>
      <c r="X11" s="68" t="s">
        <v>111</v>
      </c>
      <c r="Y11" s="68" t="s">
        <v>112</v>
      </c>
      <c r="Z11" s="68" t="s">
        <v>113</v>
      </c>
      <c r="AA11" s="68" t="s">
        <v>114</v>
      </c>
      <c r="AB11" s="68" t="s">
        <v>115</v>
      </c>
      <c r="AC11" s="68" t="s">
        <v>116</v>
      </c>
      <c r="AD11" s="68" t="s">
        <v>117</v>
      </c>
      <c r="AE11" s="68" t="s">
        <v>118</v>
      </c>
      <c r="AF11" s="68" t="s">
        <v>119</v>
      </c>
      <c r="AG11" s="68" t="s">
        <v>120</v>
      </c>
      <c r="AH11" s="68" t="s">
        <v>121</v>
      </c>
      <c r="AI11" s="68" t="s">
        <v>122</v>
      </c>
      <c r="AJ11" s="68" t="s">
        <v>123</v>
      </c>
      <c r="AK11" s="68" t="s">
        <v>124</v>
      </c>
      <c r="AL11" s="68" t="s">
        <v>125</v>
      </c>
    </row>
    <row r="12">
      <c r="B12" s="9" t="str">
        <f>Categorias!B12</f>
        <v>Nomina</v>
      </c>
      <c r="C12" s="73">
        <v>42000.0</v>
      </c>
      <c r="D12" s="70">
        <f>SUM(Diciembre!$H12:$AL12)</f>
        <v>22000</v>
      </c>
      <c r="E12" s="33">
        <f t="shared" ref="E12:E20" si="3">D12-C12</f>
        <v>-20000</v>
      </c>
      <c r="F12" s="34"/>
      <c r="H12" s="72">
        <v>22000.0</v>
      </c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</row>
    <row r="13">
      <c r="B13" s="9" t="str">
        <f>Categorias!B13</f>
        <v>Aguinaldo</v>
      </c>
      <c r="C13" s="73">
        <v>5000.0</v>
      </c>
      <c r="D13" s="70">
        <f>SUM(Diciembre!$H13:$AL13)</f>
        <v>0</v>
      </c>
      <c r="E13" s="33">
        <f t="shared" si="3"/>
        <v>-5000</v>
      </c>
      <c r="F13" s="34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</row>
    <row r="14">
      <c r="B14" s="9" t="str">
        <f>Categorias!B14</f>
        <v>Fondo de ahorro</v>
      </c>
      <c r="C14" s="73">
        <v>0.0</v>
      </c>
      <c r="D14" s="70">
        <f>SUM(Diciembre!$H14:$AL14)</f>
        <v>0</v>
      </c>
      <c r="E14" s="33">
        <f t="shared" si="3"/>
        <v>0</v>
      </c>
      <c r="F14" s="34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</row>
    <row r="15">
      <c r="B15" s="9" t="str">
        <f>Categorias!B15</f>
        <v>Vales despensa</v>
      </c>
      <c r="C15" s="73">
        <v>3000.0</v>
      </c>
      <c r="D15" s="70">
        <f>SUM(Diciembre!$H15:$AL15)</f>
        <v>3000</v>
      </c>
      <c r="E15" s="33">
        <f t="shared" si="3"/>
        <v>0</v>
      </c>
      <c r="F15" s="34"/>
      <c r="H15" s="72">
        <v>3000.0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</row>
    <row r="16">
      <c r="B16" s="9" t="str">
        <f>Categorias!B16</f>
        <v>Vales comedor</v>
      </c>
      <c r="C16" s="73">
        <v>0.0</v>
      </c>
      <c r="D16" s="70">
        <f>SUM(Diciembre!$H16:$AL16)</f>
        <v>0</v>
      </c>
      <c r="E16" s="33">
        <f t="shared" si="3"/>
        <v>0</v>
      </c>
      <c r="F16" s="34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</row>
    <row r="17">
      <c r="B17" s="9" t="str">
        <f>Categorias!B17</f>
        <v>-</v>
      </c>
      <c r="C17" s="73">
        <v>0.0</v>
      </c>
      <c r="D17" s="70">
        <f>SUM(Diciembre!$H17:$AL17)</f>
        <v>0</v>
      </c>
      <c r="E17" s="33">
        <f t="shared" si="3"/>
        <v>0</v>
      </c>
      <c r="F17" s="34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</row>
    <row r="18">
      <c r="B18" s="9" t="str">
        <f>Categorias!B18</f>
        <v>-</v>
      </c>
      <c r="C18" s="73">
        <v>0.0</v>
      </c>
      <c r="D18" s="70">
        <f>SUM(Diciembre!$H18:$AL18)</f>
        <v>0</v>
      </c>
      <c r="E18" s="33">
        <f t="shared" si="3"/>
        <v>0</v>
      </c>
      <c r="F18" s="34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>
      <c r="B19" s="9" t="str">
        <f>Categorias!B19</f>
        <v>-</v>
      </c>
      <c r="C19" s="73">
        <v>0.0</v>
      </c>
      <c r="D19" s="70">
        <f>SUM(Diciembre!$H19:$AL19)</f>
        <v>0</v>
      </c>
      <c r="E19" s="33">
        <f t="shared" si="3"/>
        <v>0</v>
      </c>
      <c r="F19" s="34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</row>
    <row r="20">
      <c r="B20" s="9" t="str">
        <f>Categorias!B20</f>
        <v>-</v>
      </c>
      <c r="C20" s="73">
        <v>0.0</v>
      </c>
      <c r="D20" s="70">
        <f>SUM(Diciembre!$H20:$AL20)</f>
        <v>0</v>
      </c>
      <c r="E20" s="33">
        <f t="shared" si="3"/>
        <v>0</v>
      </c>
      <c r="F20" s="34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</row>
    <row r="21" ht="15.75" customHeight="1">
      <c r="B21" s="14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 ht="15.75" customHeight="1">
      <c r="B22" s="14"/>
      <c r="P22" s="40"/>
    </row>
    <row r="23" ht="21.0" customHeight="1">
      <c r="B23" s="35" t="s">
        <v>11</v>
      </c>
      <c r="H23" s="74" t="s">
        <v>134</v>
      </c>
      <c r="P23" s="40"/>
    </row>
    <row r="24" ht="15.75" customHeight="1">
      <c r="B24" s="36"/>
      <c r="P24" s="40"/>
    </row>
    <row r="25" ht="30.0" customHeight="1">
      <c r="B25" s="25" t="s">
        <v>79</v>
      </c>
      <c r="C25" s="26" t="s">
        <v>85</v>
      </c>
      <c r="D25" s="26" t="s">
        <v>86</v>
      </c>
      <c r="E25" s="26" t="s">
        <v>82</v>
      </c>
      <c r="F25" s="27" t="s">
        <v>83</v>
      </c>
      <c r="H25" s="75" t="s">
        <v>127</v>
      </c>
      <c r="P25" s="40"/>
    </row>
    <row r="26" ht="19.5" customHeight="1">
      <c r="B26" s="37" t="s">
        <v>84</v>
      </c>
      <c r="C26" s="38">
        <f t="shared" ref="C26:E26" si="4">C28+C37+C45+C58+C68+C77+C88+C97+C107+C115+C126+C136+C146+C158</f>
        <v>24190</v>
      </c>
      <c r="D26" s="38">
        <f t="shared" si="4"/>
        <v>16816</v>
      </c>
      <c r="E26" s="38">
        <f t="shared" si="4"/>
        <v>7374</v>
      </c>
      <c r="F26" s="30"/>
      <c r="H26" s="75" t="s">
        <v>128</v>
      </c>
      <c r="P26" s="40"/>
    </row>
    <row r="27" ht="15.75" customHeight="1">
      <c r="B27" s="13"/>
      <c r="P27" s="40"/>
    </row>
    <row r="28" ht="15.75" customHeight="1">
      <c r="B28" s="39" t="str">
        <f>Categorias!B24</f>
        <v>ALIMENTOS Y BEBIDAS</v>
      </c>
      <c r="C28" s="31">
        <f t="shared" ref="C28:E28" si="5">SUM(C29:C35)</f>
        <v>3000</v>
      </c>
      <c r="D28" s="31">
        <f t="shared" si="5"/>
        <v>4035</v>
      </c>
      <c r="E28" s="31">
        <f t="shared" si="5"/>
        <v>-1035</v>
      </c>
      <c r="F28" s="32"/>
      <c r="H28" s="68" t="s">
        <v>95</v>
      </c>
      <c r="I28" s="68" t="s">
        <v>96</v>
      </c>
      <c r="J28" s="68" t="s">
        <v>97</v>
      </c>
      <c r="K28" s="68" t="s">
        <v>98</v>
      </c>
      <c r="L28" s="68" t="s">
        <v>99</v>
      </c>
      <c r="M28" s="68" t="s">
        <v>100</v>
      </c>
      <c r="N28" s="68" t="s">
        <v>101</v>
      </c>
      <c r="O28" s="68" t="s">
        <v>102</v>
      </c>
      <c r="P28" s="72" t="s">
        <v>103</v>
      </c>
      <c r="Q28" s="68" t="s">
        <v>104</v>
      </c>
      <c r="R28" s="68" t="s">
        <v>105</v>
      </c>
      <c r="S28" s="68" t="s">
        <v>106</v>
      </c>
      <c r="T28" s="68" t="s">
        <v>107</v>
      </c>
      <c r="U28" s="68" t="s">
        <v>108</v>
      </c>
      <c r="V28" s="68" t="s">
        <v>109</v>
      </c>
      <c r="W28" s="68" t="s">
        <v>110</v>
      </c>
      <c r="X28" s="68" t="s">
        <v>111</v>
      </c>
      <c r="Y28" s="68" t="s">
        <v>112</v>
      </c>
      <c r="Z28" s="68" t="s">
        <v>113</v>
      </c>
      <c r="AA28" s="68" t="s">
        <v>114</v>
      </c>
      <c r="AB28" s="68" t="s">
        <v>115</v>
      </c>
      <c r="AC28" s="68" t="s">
        <v>116</v>
      </c>
      <c r="AD28" s="68" t="s">
        <v>117</v>
      </c>
      <c r="AE28" s="68" t="s">
        <v>118</v>
      </c>
      <c r="AF28" s="68" t="s">
        <v>119</v>
      </c>
      <c r="AG28" s="68" t="s">
        <v>120</v>
      </c>
      <c r="AH28" s="68" t="s">
        <v>121</v>
      </c>
      <c r="AI28" s="68" t="s">
        <v>122</v>
      </c>
      <c r="AJ28" s="68" t="s">
        <v>123</v>
      </c>
      <c r="AK28" s="68" t="s">
        <v>124</v>
      </c>
      <c r="AL28" s="68" t="s">
        <v>125</v>
      </c>
    </row>
    <row r="29" ht="15.75" customHeight="1">
      <c r="B29" s="9" t="str">
        <f>Categorias!B25</f>
        <v>Restaurantes</v>
      </c>
      <c r="C29" s="73">
        <v>3000.0</v>
      </c>
      <c r="D29" s="33">
        <f>SUM(Diciembre!$H29:$AL29)</f>
        <v>3470</v>
      </c>
      <c r="E29" s="33">
        <f t="shared" ref="E29:E35" si="6">C29-D29</f>
        <v>-470</v>
      </c>
      <c r="F29" s="34"/>
      <c r="H29" s="72"/>
      <c r="I29" s="72"/>
      <c r="J29" s="72">
        <v>350.0</v>
      </c>
      <c r="K29" s="72"/>
      <c r="L29" s="72"/>
      <c r="M29" s="72">
        <v>350.0</v>
      </c>
      <c r="N29" s="72"/>
      <c r="O29" s="72">
        <v>2100.0</v>
      </c>
      <c r="P29" s="72"/>
      <c r="Q29" s="72">
        <v>280.0</v>
      </c>
      <c r="R29" s="72"/>
      <c r="S29" s="72">
        <v>390.0</v>
      </c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</row>
    <row r="30" ht="15.75" customHeight="1">
      <c r="B30" s="9" t="str">
        <f>Categorias!B26</f>
        <v>Comida Carlos</v>
      </c>
      <c r="C30" s="73">
        <v>0.0</v>
      </c>
      <c r="D30" s="33">
        <f>SUM(Diciembre!$H30:$AL30)</f>
        <v>175</v>
      </c>
      <c r="E30" s="33">
        <f t="shared" si="6"/>
        <v>-175</v>
      </c>
      <c r="F30" s="34"/>
      <c r="H30" s="72"/>
      <c r="I30" s="72"/>
      <c r="J30" s="72"/>
      <c r="K30" s="72"/>
      <c r="L30" s="72"/>
      <c r="M30" s="72">
        <v>65.0</v>
      </c>
      <c r="N30" s="72"/>
      <c r="O30" s="72"/>
      <c r="P30" s="72"/>
      <c r="Q30" s="72"/>
      <c r="R30" s="72"/>
      <c r="S30" s="72">
        <v>110.0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</row>
    <row r="31" ht="15.75" customHeight="1">
      <c r="B31" s="9" t="str">
        <f>Categorias!B27</f>
        <v>-</v>
      </c>
      <c r="C31" s="73">
        <v>0.0</v>
      </c>
      <c r="D31" s="33">
        <f>SUM(Diciembre!$H31:$AL31)</f>
        <v>30</v>
      </c>
      <c r="E31" s="33">
        <f t="shared" si="6"/>
        <v>-30</v>
      </c>
      <c r="F31" s="34"/>
      <c r="H31" s="72"/>
      <c r="I31" s="72"/>
      <c r="J31" s="72">
        <v>30.0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</row>
    <row r="32" ht="15.75" customHeight="1">
      <c r="B32" s="9" t="str">
        <f>Categorias!B28</f>
        <v>-</v>
      </c>
      <c r="C32" s="73">
        <v>0.0</v>
      </c>
      <c r="D32" s="33">
        <f>SUM(Diciembre!$H32:$AL32)</f>
        <v>80</v>
      </c>
      <c r="E32" s="33">
        <f t="shared" si="6"/>
        <v>-80</v>
      </c>
      <c r="F32" s="34"/>
      <c r="H32" s="72"/>
      <c r="I32" s="72"/>
      <c r="J32" s="72"/>
      <c r="K32" s="72"/>
      <c r="L32" s="72">
        <v>80.0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</row>
    <row r="33" ht="15.75" customHeight="1">
      <c r="B33" s="9" t="str">
        <f>Categorias!B29</f>
        <v>-</v>
      </c>
      <c r="C33" s="73">
        <v>0.0</v>
      </c>
      <c r="D33" s="33">
        <f>SUM(Diciembre!$H33:$AL33)</f>
        <v>0</v>
      </c>
      <c r="E33" s="33">
        <f t="shared" si="6"/>
        <v>0</v>
      </c>
      <c r="F33" s="34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</row>
    <row r="34" ht="15.75" customHeight="1">
      <c r="B34" s="9" t="str">
        <f>Categorias!B30</f>
        <v>-</v>
      </c>
      <c r="C34" s="73">
        <v>0.0</v>
      </c>
      <c r="D34" s="33">
        <f>SUM(Diciembre!$H34:$AL34)</f>
        <v>280</v>
      </c>
      <c r="E34" s="33">
        <f t="shared" si="6"/>
        <v>-280</v>
      </c>
      <c r="F34" s="34"/>
      <c r="H34" s="72">
        <v>280.0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</row>
    <row r="35" ht="15.75" customHeight="1">
      <c r="B35" s="9" t="str">
        <f>Categorias!B31</f>
        <v>-</v>
      </c>
      <c r="C35" s="73">
        <v>0.0</v>
      </c>
      <c r="D35" s="33">
        <f>SUM(Diciembre!$H35:$AL35)</f>
        <v>0</v>
      </c>
      <c r="E35" s="33">
        <f t="shared" si="6"/>
        <v>0</v>
      </c>
      <c r="F35" s="34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ht="15.75" customHeight="1">
      <c r="B36" s="12"/>
      <c r="C36" s="40"/>
      <c r="D36" s="40"/>
      <c r="E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 ht="15.75" customHeight="1">
      <c r="B37" s="8" t="str">
        <f>Categorias!B33</f>
        <v>SALUD</v>
      </c>
      <c r="C37" s="31">
        <f t="shared" ref="C37:E37" si="7">SUM(C38:C43)</f>
        <v>1200</v>
      </c>
      <c r="D37" s="31">
        <f t="shared" si="7"/>
        <v>0</v>
      </c>
      <c r="E37" s="31">
        <f t="shared" si="7"/>
        <v>1200</v>
      </c>
      <c r="F37" s="32"/>
      <c r="H37" s="68" t="s">
        <v>95</v>
      </c>
      <c r="I37" s="68" t="s">
        <v>96</v>
      </c>
      <c r="J37" s="68" t="s">
        <v>97</v>
      </c>
      <c r="K37" s="68" t="s">
        <v>98</v>
      </c>
      <c r="L37" s="68" t="s">
        <v>99</v>
      </c>
      <c r="M37" s="68" t="s">
        <v>100</v>
      </c>
      <c r="N37" s="68" t="s">
        <v>101</v>
      </c>
      <c r="O37" s="68" t="s">
        <v>102</v>
      </c>
      <c r="P37" s="68" t="s">
        <v>103</v>
      </c>
      <c r="Q37" s="68" t="s">
        <v>104</v>
      </c>
      <c r="R37" s="68" t="s">
        <v>105</v>
      </c>
      <c r="S37" s="68" t="s">
        <v>106</v>
      </c>
      <c r="T37" s="68" t="s">
        <v>107</v>
      </c>
      <c r="U37" s="68" t="s">
        <v>108</v>
      </c>
      <c r="V37" s="68" t="s">
        <v>109</v>
      </c>
      <c r="W37" s="68" t="s">
        <v>110</v>
      </c>
      <c r="X37" s="68" t="s">
        <v>111</v>
      </c>
      <c r="Y37" s="68" t="s">
        <v>112</v>
      </c>
      <c r="Z37" s="68" t="s">
        <v>113</v>
      </c>
      <c r="AA37" s="68" t="s">
        <v>114</v>
      </c>
      <c r="AB37" s="68" t="s">
        <v>115</v>
      </c>
      <c r="AC37" s="68" t="s">
        <v>116</v>
      </c>
      <c r="AD37" s="68" t="s">
        <v>117</v>
      </c>
      <c r="AE37" s="68" t="s">
        <v>118</v>
      </c>
      <c r="AF37" s="68" t="s">
        <v>119</v>
      </c>
      <c r="AG37" s="68" t="s">
        <v>120</v>
      </c>
      <c r="AH37" s="68" t="s">
        <v>121</v>
      </c>
      <c r="AI37" s="68" t="s">
        <v>122</v>
      </c>
      <c r="AJ37" s="68" t="s">
        <v>123</v>
      </c>
      <c r="AK37" s="68" t="s">
        <v>124</v>
      </c>
      <c r="AL37" s="68" t="s">
        <v>125</v>
      </c>
    </row>
    <row r="38" ht="15.75" customHeight="1">
      <c r="B38" s="9" t="str">
        <f>Categorias!B34</f>
        <v>Gastos en médicos</v>
      </c>
      <c r="C38" s="73">
        <v>0.0</v>
      </c>
      <c r="D38" s="33">
        <f>SUM(Diciembre!$H38:$AL38)</f>
        <v>0</v>
      </c>
      <c r="E38" s="33">
        <f t="shared" ref="E38:E43" si="8">C38-D38</f>
        <v>0</v>
      </c>
      <c r="F38" s="34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</row>
    <row r="39" ht="15.75" customHeight="1">
      <c r="B39" s="9" t="str">
        <f>Categorias!B35</f>
        <v>Medicamentos</v>
      </c>
      <c r="C39" s="73">
        <v>0.0</v>
      </c>
      <c r="D39" s="33">
        <f>SUM(Diciembre!$H39:$AL39)</f>
        <v>0</v>
      </c>
      <c r="E39" s="33">
        <f t="shared" si="8"/>
        <v>0</v>
      </c>
      <c r="F39" s="34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</row>
    <row r="40" ht="15.75" customHeight="1">
      <c r="B40" s="9" t="str">
        <f>Categorias!B36</f>
        <v>Dentista Kary</v>
      </c>
      <c r="C40" s="73">
        <v>600.0</v>
      </c>
      <c r="D40" s="33">
        <f>SUM(Diciembre!$H40:$AL40)</f>
        <v>0</v>
      </c>
      <c r="E40" s="33">
        <f t="shared" si="8"/>
        <v>600</v>
      </c>
      <c r="F40" s="34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</row>
    <row r="41" ht="15.75" customHeight="1">
      <c r="B41" s="9" t="str">
        <f>Categorias!B37</f>
        <v>Dentista Thiago</v>
      </c>
      <c r="C41" s="73">
        <v>600.0</v>
      </c>
      <c r="D41" s="33">
        <f>SUM(Diciembre!$H41:$AL41)</f>
        <v>0</v>
      </c>
      <c r="E41" s="33">
        <f t="shared" si="8"/>
        <v>600</v>
      </c>
      <c r="F41" s="34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</row>
    <row r="42" ht="15.75" customHeight="1">
      <c r="B42" s="9" t="str">
        <f>Categorias!B38</f>
        <v>-</v>
      </c>
      <c r="C42" s="73">
        <v>0.0</v>
      </c>
      <c r="D42" s="33">
        <f>SUM(Diciembre!$H42:$AL42)</f>
        <v>0</v>
      </c>
      <c r="E42" s="33">
        <f t="shared" si="8"/>
        <v>0</v>
      </c>
      <c r="F42" s="34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</row>
    <row r="43" ht="15.75" customHeight="1">
      <c r="B43" s="9" t="str">
        <f>Categorias!B39</f>
        <v>-</v>
      </c>
      <c r="C43" s="73">
        <v>0.0</v>
      </c>
      <c r="D43" s="33">
        <f>SUM(Diciembre!$H43:$AL43)</f>
        <v>0</v>
      </c>
      <c r="E43" s="33">
        <f t="shared" si="8"/>
        <v>0</v>
      </c>
      <c r="F43" s="34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</row>
    <row r="44" ht="15.75" customHeight="1">
      <c r="B44" s="13"/>
      <c r="C44" s="40"/>
      <c r="D44" s="40"/>
      <c r="E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</row>
    <row r="45" ht="15.75" customHeight="1">
      <c r="B45" s="8" t="str">
        <f>Categorias!B41</f>
        <v>CASA</v>
      </c>
      <c r="C45" s="31">
        <f t="shared" ref="C45:E45" si="9">SUM(C46:C56)</f>
        <v>7300</v>
      </c>
      <c r="D45" s="31">
        <f t="shared" si="9"/>
        <v>1500</v>
      </c>
      <c r="E45" s="31">
        <f t="shared" si="9"/>
        <v>5800</v>
      </c>
      <c r="F45" s="32"/>
      <c r="H45" s="68" t="s">
        <v>95</v>
      </c>
      <c r="I45" s="68" t="s">
        <v>96</v>
      </c>
      <c r="J45" s="68" t="s">
        <v>97</v>
      </c>
      <c r="K45" s="68" t="s">
        <v>98</v>
      </c>
      <c r="L45" s="68" t="s">
        <v>99</v>
      </c>
      <c r="M45" s="68" t="s">
        <v>100</v>
      </c>
      <c r="N45" s="68" t="s">
        <v>101</v>
      </c>
      <c r="O45" s="68" t="s">
        <v>102</v>
      </c>
      <c r="P45" s="68" t="s">
        <v>103</v>
      </c>
      <c r="Q45" s="68" t="s">
        <v>104</v>
      </c>
      <c r="R45" s="68" t="s">
        <v>105</v>
      </c>
      <c r="S45" s="68" t="s">
        <v>106</v>
      </c>
      <c r="T45" s="68" t="s">
        <v>107</v>
      </c>
      <c r="U45" s="68" t="s">
        <v>108</v>
      </c>
      <c r="V45" s="68" t="s">
        <v>109</v>
      </c>
      <c r="W45" s="68" t="s">
        <v>110</v>
      </c>
      <c r="X45" s="68" t="s">
        <v>111</v>
      </c>
      <c r="Y45" s="68" t="s">
        <v>112</v>
      </c>
      <c r="Z45" s="68" t="s">
        <v>113</v>
      </c>
      <c r="AA45" s="68" t="s">
        <v>114</v>
      </c>
      <c r="AB45" s="68" t="s">
        <v>115</v>
      </c>
      <c r="AC45" s="68" t="s">
        <v>116</v>
      </c>
      <c r="AD45" s="68" t="s">
        <v>117</v>
      </c>
      <c r="AE45" s="68" t="s">
        <v>118</v>
      </c>
      <c r="AF45" s="68" t="s">
        <v>119</v>
      </c>
      <c r="AG45" s="68" t="s">
        <v>120</v>
      </c>
      <c r="AH45" s="68" t="s">
        <v>121</v>
      </c>
      <c r="AI45" s="68" t="s">
        <v>122</v>
      </c>
      <c r="AJ45" s="68" t="s">
        <v>123</v>
      </c>
      <c r="AK45" s="68" t="s">
        <v>124</v>
      </c>
      <c r="AL45" s="68" t="s">
        <v>125</v>
      </c>
    </row>
    <row r="46" ht="15.75" customHeight="1">
      <c r="B46" s="9" t="str">
        <f>Categorias!B42</f>
        <v>Reparación</v>
      </c>
      <c r="C46" s="73">
        <v>0.0</v>
      </c>
      <c r="D46" s="33">
        <f>SUM(Diciembre!$H46:$AL46)</f>
        <v>0</v>
      </c>
      <c r="E46" s="33">
        <f t="shared" ref="E46:E56" si="10">C46-D46</f>
        <v>0</v>
      </c>
      <c r="F46" s="34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</row>
    <row r="47" ht="15.75" customHeight="1">
      <c r="B47" s="9" t="str">
        <f>Categorias!B43</f>
        <v>Electricidad</v>
      </c>
      <c r="C47" s="73">
        <v>0.0</v>
      </c>
      <c r="D47" s="33">
        <f>SUM(Diciembre!$H47:$AL47)</f>
        <v>0</v>
      </c>
      <c r="E47" s="33">
        <f t="shared" si="10"/>
        <v>0</v>
      </c>
      <c r="F47" s="34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</row>
    <row r="48" ht="15.75" customHeight="1">
      <c r="B48" s="9" t="str">
        <f>Categorias!B44</f>
        <v>Gas</v>
      </c>
      <c r="C48" s="73">
        <v>300.0</v>
      </c>
      <c r="D48" s="33">
        <f>SUM(Diciembre!$H48:$AL48)</f>
        <v>0</v>
      </c>
      <c r="E48" s="33">
        <f t="shared" si="10"/>
        <v>300</v>
      </c>
      <c r="F48" s="34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</row>
    <row r="49" ht="15.75" customHeight="1">
      <c r="B49" s="9" t="str">
        <f>Categorias!B45</f>
        <v>Casa Claudia</v>
      </c>
      <c r="C49" s="73">
        <v>0.0</v>
      </c>
      <c r="D49" s="33">
        <f>SUM(Diciembre!$H49:$AL49)</f>
        <v>0</v>
      </c>
      <c r="E49" s="33">
        <f t="shared" si="10"/>
        <v>0</v>
      </c>
      <c r="F49" s="34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</row>
    <row r="50" ht="15.75" customHeight="1">
      <c r="B50" s="9" t="str">
        <f>Categorias!B46</f>
        <v>Muebles/electrodomésticos</v>
      </c>
      <c r="C50" s="73">
        <v>0.0</v>
      </c>
      <c r="D50" s="33">
        <f>SUM(Diciembre!$H50:$AL50)</f>
        <v>0</v>
      </c>
      <c r="E50" s="33">
        <f t="shared" si="10"/>
        <v>0</v>
      </c>
      <c r="F50" s="34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</row>
    <row r="51" ht="15.75" customHeight="1">
      <c r="B51" s="9" t="str">
        <f>Categorias!B47</f>
        <v>Predial</v>
      </c>
      <c r="C51" s="73">
        <v>5000.0</v>
      </c>
      <c r="D51" s="33">
        <f>SUM(Diciembre!$H51:$AL51)</f>
        <v>700</v>
      </c>
      <c r="E51" s="33">
        <f t="shared" si="10"/>
        <v>4300</v>
      </c>
      <c r="F51" s="34"/>
      <c r="H51" s="72">
        <v>700.0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</row>
    <row r="52" ht="15.75" customHeight="1">
      <c r="B52" s="9" t="str">
        <f>Categorias!B48</f>
        <v>Renta Cuarto</v>
      </c>
      <c r="C52" s="73">
        <v>2000.0</v>
      </c>
      <c r="D52" s="33">
        <f>SUM(Diciembre!$H52:$AL52)</f>
        <v>800</v>
      </c>
      <c r="E52" s="33">
        <f t="shared" si="10"/>
        <v>1200</v>
      </c>
      <c r="F52" s="34"/>
      <c r="H52" s="72">
        <v>800.0</v>
      </c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</row>
    <row r="53" ht="15.75" customHeight="1">
      <c r="B53" s="9" t="str">
        <f>Categorias!B49</f>
        <v>-</v>
      </c>
      <c r="C53" s="73">
        <v>0.0</v>
      </c>
      <c r="D53" s="33">
        <f>SUM(Diciembre!$H53:$AL53)</f>
        <v>0</v>
      </c>
      <c r="E53" s="33">
        <f t="shared" si="10"/>
        <v>0</v>
      </c>
      <c r="F53" s="34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</row>
    <row r="54" ht="15.75" customHeight="1">
      <c r="B54" s="9" t="str">
        <f>Categorias!B50</f>
        <v>-</v>
      </c>
      <c r="C54" s="73">
        <v>0.0</v>
      </c>
      <c r="D54" s="33">
        <f>SUM(Diciembre!$H54:$AL54)</f>
        <v>0</v>
      </c>
      <c r="E54" s="33">
        <f t="shared" si="10"/>
        <v>0</v>
      </c>
      <c r="F54" s="34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</row>
    <row r="55" ht="15.75" customHeight="1">
      <c r="B55" s="9" t="str">
        <f>Categorias!B51</f>
        <v>-</v>
      </c>
      <c r="C55" s="73">
        <v>0.0</v>
      </c>
      <c r="D55" s="33">
        <f>SUM(Diciembre!$H55:$AL55)</f>
        <v>0</v>
      </c>
      <c r="E55" s="33">
        <f t="shared" si="10"/>
        <v>0</v>
      </c>
      <c r="F55" s="34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</row>
    <row r="56" ht="15.75" customHeight="1">
      <c r="B56" s="9" t="str">
        <f>Categorias!B52</f>
        <v>-</v>
      </c>
      <c r="C56" s="73">
        <v>0.0</v>
      </c>
      <c r="D56" s="33">
        <f>SUM(Diciembre!$H56:$AL56)</f>
        <v>0</v>
      </c>
      <c r="E56" s="33">
        <f t="shared" si="10"/>
        <v>0</v>
      </c>
      <c r="F56" s="34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</row>
    <row r="57" ht="15.75" customHeight="1">
      <c r="B57" s="13"/>
      <c r="C57" s="40"/>
      <c r="D57" s="40"/>
      <c r="E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</row>
    <row r="58" ht="15.75" customHeight="1">
      <c r="B58" s="8" t="str">
        <f>Categorias!B54</f>
        <v>ROPA Y CALZADO</v>
      </c>
      <c r="C58" s="31">
        <f t="shared" ref="C58:E58" si="11">SUM(C59:C66)</f>
        <v>0</v>
      </c>
      <c r="D58" s="31">
        <f t="shared" si="11"/>
        <v>0</v>
      </c>
      <c r="E58" s="31">
        <f t="shared" si="11"/>
        <v>0</v>
      </c>
      <c r="F58" s="32"/>
      <c r="H58" s="68" t="s">
        <v>95</v>
      </c>
      <c r="I58" s="68" t="s">
        <v>96</v>
      </c>
      <c r="J58" s="68" t="s">
        <v>97</v>
      </c>
      <c r="K58" s="68" t="s">
        <v>98</v>
      </c>
      <c r="L58" s="68" t="s">
        <v>99</v>
      </c>
      <c r="M58" s="68" t="s">
        <v>100</v>
      </c>
      <c r="N58" s="68" t="s">
        <v>101</v>
      </c>
      <c r="O58" s="68" t="s">
        <v>102</v>
      </c>
      <c r="P58" s="68" t="s">
        <v>103</v>
      </c>
      <c r="Q58" s="68" t="s">
        <v>104</v>
      </c>
      <c r="R58" s="68" t="s">
        <v>105</v>
      </c>
      <c r="S58" s="68" t="s">
        <v>106</v>
      </c>
      <c r="T58" s="68" t="s">
        <v>107</v>
      </c>
      <c r="U58" s="68" t="s">
        <v>108</v>
      </c>
      <c r="V58" s="68" t="s">
        <v>109</v>
      </c>
      <c r="W58" s="68" t="s">
        <v>110</v>
      </c>
      <c r="X58" s="68" t="s">
        <v>111</v>
      </c>
      <c r="Y58" s="68" t="s">
        <v>112</v>
      </c>
      <c r="Z58" s="68" t="s">
        <v>113</v>
      </c>
      <c r="AA58" s="68" t="s">
        <v>114</v>
      </c>
      <c r="AB58" s="68" t="s">
        <v>115</v>
      </c>
      <c r="AC58" s="68" t="s">
        <v>116</v>
      </c>
      <c r="AD58" s="68" t="s">
        <v>117</v>
      </c>
      <c r="AE58" s="68" t="s">
        <v>118</v>
      </c>
      <c r="AF58" s="68" t="s">
        <v>119</v>
      </c>
      <c r="AG58" s="68" t="s">
        <v>120</v>
      </c>
      <c r="AH58" s="68" t="s">
        <v>121</v>
      </c>
      <c r="AI58" s="68" t="s">
        <v>122</v>
      </c>
      <c r="AJ58" s="68" t="s">
        <v>123</v>
      </c>
      <c r="AK58" s="68" t="s">
        <v>124</v>
      </c>
      <c r="AL58" s="68" t="s">
        <v>125</v>
      </c>
    </row>
    <row r="59" ht="15.75" customHeight="1">
      <c r="B59" s="9" t="str">
        <f>Categorias!B55</f>
        <v>Ropa de adultos</v>
      </c>
      <c r="C59" s="73">
        <v>0.0</v>
      </c>
      <c r="D59" s="33">
        <f>SUM(Diciembre!$H59:$AL59)</f>
        <v>0</v>
      </c>
      <c r="E59" s="33">
        <f t="shared" ref="E59:E66" si="12">C59-D59</f>
        <v>0</v>
      </c>
      <c r="F59" s="34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</row>
    <row r="60" ht="15.75" customHeight="1">
      <c r="B60" s="9" t="str">
        <f>Categorias!B56</f>
        <v>Ropa de niños</v>
      </c>
      <c r="C60" s="73">
        <v>0.0</v>
      </c>
      <c r="D60" s="33">
        <f>SUM(Diciembre!$H60:$AL60)</f>
        <v>0</v>
      </c>
      <c r="E60" s="33">
        <f t="shared" si="12"/>
        <v>0</v>
      </c>
      <c r="F60" s="34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ht="15.75" customHeight="1">
      <c r="B61" s="9" t="str">
        <f>Categorias!B57</f>
        <v>Calzado</v>
      </c>
      <c r="C61" s="73">
        <v>0.0</v>
      </c>
      <c r="D61" s="33">
        <f>SUM(Diciembre!$H61:$AL61)</f>
        <v>0</v>
      </c>
      <c r="E61" s="33">
        <f t="shared" si="12"/>
        <v>0</v>
      </c>
      <c r="F61" s="34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ht="15.75" customHeight="1">
      <c r="B62" s="9" t="str">
        <f>Categorias!B58</f>
        <v>Acessorios</v>
      </c>
      <c r="C62" s="73">
        <v>0.0</v>
      </c>
      <c r="D62" s="33">
        <f>SUM(Diciembre!$H62:$AL62)</f>
        <v>0</v>
      </c>
      <c r="E62" s="33">
        <f t="shared" si="12"/>
        <v>0</v>
      </c>
      <c r="F62" s="34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</row>
    <row r="63" ht="15.75" customHeight="1">
      <c r="B63" s="9" t="str">
        <f>Categorias!B59</f>
        <v>Joyería</v>
      </c>
      <c r="C63" s="73">
        <v>0.0</v>
      </c>
      <c r="D63" s="33">
        <f>SUM(Diciembre!$H63:$AL63)</f>
        <v>0</v>
      </c>
      <c r="E63" s="33">
        <f t="shared" si="12"/>
        <v>0</v>
      </c>
      <c r="F63" s="34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</row>
    <row r="64" ht="15.75" customHeight="1">
      <c r="B64" s="9" t="str">
        <f>Categorias!B60</f>
        <v>Otros</v>
      </c>
      <c r="C64" s="73">
        <v>0.0</v>
      </c>
      <c r="D64" s="33">
        <f>SUM(Diciembre!$H64:$AL64)</f>
        <v>0</v>
      </c>
      <c r="E64" s="33">
        <f t="shared" si="12"/>
        <v>0</v>
      </c>
      <c r="F64" s="34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</row>
    <row r="65" ht="15.75" customHeight="1">
      <c r="B65" s="9" t="str">
        <f>Categorias!B61</f>
        <v>-</v>
      </c>
      <c r="C65" s="73">
        <v>0.0</v>
      </c>
      <c r="D65" s="33">
        <f>SUM(Diciembre!$H65:$AL65)</f>
        <v>0</v>
      </c>
      <c r="E65" s="33">
        <f t="shared" si="12"/>
        <v>0</v>
      </c>
      <c r="F65" s="34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</row>
    <row r="66" ht="15.75" customHeight="1">
      <c r="B66" s="9" t="str">
        <f>Categorias!B62</f>
        <v>-</v>
      </c>
      <c r="C66" s="73">
        <v>0.0</v>
      </c>
      <c r="D66" s="33">
        <f>SUM(Diciembre!$H66:$AL66)</f>
        <v>0</v>
      </c>
      <c r="E66" s="33">
        <f t="shared" si="12"/>
        <v>0</v>
      </c>
      <c r="F66" s="34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</row>
    <row r="67" ht="15.75" customHeight="1">
      <c r="B67" s="13"/>
      <c r="C67" s="40"/>
      <c r="D67" s="40"/>
      <c r="E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</row>
    <row r="68" ht="15.75" customHeight="1">
      <c r="B68" s="8" t="str">
        <f>Categorias!B64</f>
        <v>COMUNICACIÓN</v>
      </c>
      <c r="C68" s="31">
        <f t="shared" ref="C68:E68" si="13">SUM(C69:C75)</f>
        <v>750</v>
      </c>
      <c r="D68" s="31">
        <f t="shared" si="13"/>
        <v>6590</v>
      </c>
      <c r="E68" s="31">
        <f t="shared" si="13"/>
        <v>-5840</v>
      </c>
      <c r="F68" s="32"/>
      <c r="H68" s="68" t="s">
        <v>95</v>
      </c>
      <c r="I68" s="68" t="s">
        <v>96</v>
      </c>
      <c r="J68" s="68" t="s">
        <v>97</v>
      </c>
      <c r="K68" s="68" t="s">
        <v>98</v>
      </c>
      <c r="L68" s="68" t="s">
        <v>99</v>
      </c>
      <c r="M68" s="68" t="s">
        <v>100</v>
      </c>
      <c r="N68" s="68" t="s">
        <v>101</v>
      </c>
      <c r="O68" s="68" t="s">
        <v>102</v>
      </c>
      <c r="P68" s="68" t="s">
        <v>103</v>
      </c>
      <c r="Q68" s="68" t="s">
        <v>104</v>
      </c>
      <c r="R68" s="68" t="s">
        <v>105</v>
      </c>
      <c r="S68" s="68" t="s">
        <v>106</v>
      </c>
      <c r="T68" s="68" t="s">
        <v>107</v>
      </c>
      <c r="U68" s="68" t="s">
        <v>108</v>
      </c>
      <c r="V68" s="68" t="s">
        <v>109</v>
      </c>
      <c r="W68" s="68" t="s">
        <v>110</v>
      </c>
      <c r="X68" s="68" t="s">
        <v>111</v>
      </c>
      <c r="Y68" s="68" t="s">
        <v>112</v>
      </c>
      <c r="Z68" s="68" t="s">
        <v>113</v>
      </c>
      <c r="AA68" s="68" t="s">
        <v>114</v>
      </c>
      <c r="AB68" s="68" t="s">
        <v>115</v>
      </c>
      <c r="AC68" s="68" t="s">
        <v>116</v>
      </c>
      <c r="AD68" s="68" t="s">
        <v>117</v>
      </c>
      <c r="AE68" s="68" t="s">
        <v>118</v>
      </c>
      <c r="AF68" s="68" t="s">
        <v>119</v>
      </c>
      <c r="AG68" s="68" t="s">
        <v>120</v>
      </c>
      <c r="AH68" s="68" t="s">
        <v>121</v>
      </c>
      <c r="AI68" s="68" t="s">
        <v>122</v>
      </c>
      <c r="AJ68" s="68" t="s">
        <v>123</v>
      </c>
      <c r="AK68" s="68" t="s">
        <v>124</v>
      </c>
      <c r="AL68" s="68" t="s">
        <v>125</v>
      </c>
    </row>
    <row r="69" ht="15.75" customHeight="1">
      <c r="B69" s="9" t="str">
        <f>Categorias!B65</f>
        <v>Cel. Claudia</v>
      </c>
      <c r="C69" s="73">
        <v>300.0</v>
      </c>
      <c r="D69" s="33">
        <f>SUM(Diciembre!$H69:$AL69)</f>
        <v>6300</v>
      </c>
      <c r="E69" s="33">
        <f t="shared" ref="E69:E75" si="14">C69-D69</f>
        <v>-6000</v>
      </c>
      <c r="F69" s="34"/>
      <c r="H69" s="72">
        <v>6300.0</v>
      </c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ht="15.75" customHeight="1">
      <c r="B70" s="9" t="str">
        <f>Categorias!B66</f>
        <v>Cel. Carlos</v>
      </c>
      <c r="C70" s="73">
        <v>250.0</v>
      </c>
      <c r="D70" s="33">
        <f>SUM(Diciembre!$H70:$AL70)</f>
        <v>0</v>
      </c>
      <c r="E70" s="33">
        <f t="shared" si="14"/>
        <v>250</v>
      </c>
      <c r="F70" s="34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</row>
    <row r="71" ht="15.75" customHeight="1">
      <c r="B71" s="9" t="str">
        <f>Categorias!B67</f>
        <v>Cel.Kary</v>
      </c>
      <c r="C71" s="73">
        <v>200.0</v>
      </c>
      <c r="D71" s="33">
        <f>SUM(Diciembre!$H71:$AL71)</f>
        <v>290</v>
      </c>
      <c r="E71" s="33">
        <f t="shared" si="14"/>
        <v>-90</v>
      </c>
      <c r="F71" s="34"/>
      <c r="H71" s="72">
        <v>290.0</v>
      </c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</row>
    <row r="72" ht="15.75" customHeight="1">
      <c r="B72" s="9" t="str">
        <f>Categorias!B68</f>
        <v>-</v>
      </c>
      <c r="C72" s="73">
        <v>0.0</v>
      </c>
      <c r="D72" s="33">
        <f>SUM(Diciembre!$H72:$AL72)</f>
        <v>0</v>
      </c>
      <c r="E72" s="33">
        <f t="shared" si="14"/>
        <v>0</v>
      </c>
      <c r="F72" s="34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</row>
    <row r="73" ht="15.75" customHeight="1">
      <c r="B73" s="9" t="str">
        <f>Categorias!B69</f>
        <v>-</v>
      </c>
      <c r="C73" s="73">
        <v>0.0</v>
      </c>
      <c r="D73" s="33">
        <f>SUM(Diciembre!$H73:$AL73)</f>
        <v>0</v>
      </c>
      <c r="E73" s="33">
        <f t="shared" si="14"/>
        <v>0</v>
      </c>
      <c r="F73" s="34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</row>
    <row r="74" ht="15.75" customHeight="1">
      <c r="B74" s="9" t="str">
        <f>Categorias!B70</f>
        <v>-</v>
      </c>
      <c r="C74" s="73">
        <v>0.0</v>
      </c>
      <c r="D74" s="33">
        <f>SUM(Diciembre!$H74:$AL74)</f>
        <v>0</v>
      </c>
      <c r="E74" s="33">
        <f t="shared" si="14"/>
        <v>0</v>
      </c>
      <c r="F74" s="34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</row>
    <row r="75" ht="15.75" customHeight="1">
      <c r="B75" s="9" t="str">
        <f>Categorias!B73</f>
        <v>-</v>
      </c>
      <c r="C75" s="73">
        <v>0.0</v>
      </c>
      <c r="D75" s="33">
        <f>SUM(Diciembre!$H75:$AL75)</f>
        <v>0</v>
      </c>
      <c r="E75" s="33">
        <f t="shared" si="14"/>
        <v>0</v>
      </c>
      <c r="F75" s="34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</row>
    <row r="76" ht="15.75" customHeight="1">
      <c r="B76" s="14"/>
      <c r="C76" s="40"/>
      <c r="D76" s="40"/>
      <c r="E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</row>
    <row r="77" ht="15.75" customHeight="1">
      <c r="B77" s="8" t="str">
        <f>Categorias!B75</f>
        <v>TRANSPORTE</v>
      </c>
      <c r="C77" s="31">
        <f t="shared" ref="C77:E77" si="15">SUM(C78:C86)</f>
        <v>3500</v>
      </c>
      <c r="D77" s="31">
        <f t="shared" si="15"/>
        <v>2122</v>
      </c>
      <c r="E77" s="31">
        <f t="shared" si="15"/>
        <v>1378</v>
      </c>
      <c r="F77" s="32"/>
      <c r="H77" s="68" t="s">
        <v>95</v>
      </c>
      <c r="I77" s="68" t="s">
        <v>96</v>
      </c>
      <c r="J77" s="68" t="s">
        <v>97</v>
      </c>
      <c r="K77" s="68" t="s">
        <v>98</v>
      </c>
      <c r="L77" s="68" t="s">
        <v>99</v>
      </c>
      <c r="M77" s="68" t="s">
        <v>100</v>
      </c>
      <c r="N77" s="68" t="s">
        <v>101</v>
      </c>
      <c r="O77" s="68" t="s">
        <v>102</v>
      </c>
      <c r="P77" s="68" t="s">
        <v>103</v>
      </c>
      <c r="Q77" s="68" t="s">
        <v>104</v>
      </c>
      <c r="R77" s="68" t="s">
        <v>105</v>
      </c>
      <c r="S77" s="68" t="s">
        <v>106</v>
      </c>
      <c r="T77" s="68" t="s">
        <v>107</v>
      </c>
      <c r="U77" s="68" t="s">
        <v>108</v>
      </c>
      <c r="V77" s="68" t="s">
        <v>109</v>
      </c>
      <c r="W77" s="68" t="s">
        <v>110</v>
      </c>
      <c r="X77" s="68" t="s">
        <v>111</v>
      </c>
      <c r="Y77" s="68" t="s">
        <v>112</v>
      </c>
      <c r="Z77" s="68" t="s">
        <v>113</v>
      </c>
      <c r="AA77" s="68" t="s">
        <v>114</v>
      </c>
      <c r="AB77" s="68" t="s">
        <v>115</v>
      </c>
      <c r="AC77" s="68" t="s">
        <v>116</v>
      </c>
      <c r="AD77" s="68" t="s">
        <v>117</v>
      </c>
      <c r="AE77" s="68" t="s">
        <v>118</v>
      </c>
      <c r="AF77" s="68" t="s">
        <v>119</v>
      </c>
      <c r="AG77" s="68" t="s">
        <v>120</v>
      </c>
      <c r="AH77" s="68" t="s">
        <v>121</v>
      </c>
      <c r="AI77" s="68" t="s">
        <v>122</v>
      </c>
      <c r="AJ77" s="68" t="s">
        <v>123</v>
      </c>
      <c r="AK77" s="68" t="s">
        <v>124</v>
      </c>
      <c r="AL77" s="68" t="s">
        <v>125</v>
      </c>
    </row>
    <row r="78" ht="15.75" customHeight="1">
      <c r="B78" s="9" t="str">
        <f>Categorias!B76</f>
        <v>Combustible Fusion</v>
      </c>
      <c r="C78" s="73">
        <v>2000.0</v>
      </c>
      <c r="D78" s="33">
        <f>SUM(Diciembre!$H78:$AL78)</f>
        <v>1140</v>
      </c>
      <c r="E78" s="33">
        <f t="shared" ref="E78:E86" si="16">C78-D78</f>
        <v>860</v>
      </c>
      <c r="F78" s="34"/>
      <c r="H78" s="72">
        <v>570.0</v>
      </c>
      <c r="I78" s="72"/>
      <c r="J78" s="72"/>
      <c r="K78" s="72"/>
      <c r="L78" s="72"/>
      <c r="M78" s="72"/>
      <c r="N78" s="72"/>
      <c r="O78" s="72"/>
      <c r="P78" s="72">
        <v>570.0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</row>
    <row r="79" ht="15.75" customHeight="1">
      <c r="B79" s="9" t="str">
        <f>Categorias!B77</f>
        <v>Seguro Fusion</v>
      </c>
      <c r="C79" s="73">
        <v>0.0</v>
      </c>
      <c r="D79" s="33">
        <f>SUM(Diciembre!$H79:$AL79)</f>
        <v>0</v>
      </c>
      <c r="E79" s="33">
        <f t="shared" si="16"/>
        <v>0</v>
      </c>
      <c r="F79" s="34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</row>
    <row r="80" ht="15.75" customHeight="1">
      <c r="B80" s="9" t="str">
        <f>Categorias!B78</f>
        <v>Mantenimiento Fusion</v>
      </c>
      <c r="C80" s="73">
        <v>1500.0</v>
      </c>
      <c r="D80" s="33">
        <f>SUM(Diciembre!$H80:$AL80)</f>
        <v>65</v>
      </c>
      <c r="E80" s="33">
        <f t="shared" si="16"/>
        <v>1435</v>
      </c>
      <c r="F80" s="34"/>
      <c r="H80" s="72"/>
      <c r="I80" s="72"/>
      <c r="J80" s="72"/>
      <c r="K80" s="72"/>
      <c r="L80" s="72"/>
      <c r="M80" s="72"/>
      <c r="N80" s="72"/>
      <c r="O80" s="72"/>
      <c r="P80" s="72"/>
      <c r="Q80" s="72">
        <v>65.0</v>
      </c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</row>
    <row r="81" ht="15.75" customHeight="1">
      <c r="B81" s="9" t="str">
        <f>Categorias!B79</f>
        <v>Derecho vehicular Fusion</v>
      </c>
      <c r="C81" s="73">
        <v>0.0</v>
      </c>
      <c r="D81" s="33">
        <f>SUM(Diciembre!$H81:$AL81)</f>
        <v>0</v>
      </c>
      <c r="E81" s="33">
        <f t="shared" si="16"/>
        <v>0</v>
      </c>
      <c r="F81" s="34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</row>
    <row r="82" ht="15.75" customHeight="1">
      <c r="B82" s="9" t="str">
        <f>Categorias!B80</f>
        <v>Casetas</v>
      </c>
      <c r="C82" s="73">
        <v>0.0</v>
      </c>
      <c r="D82" s="33">
        <f>SUM(Diciembre!$H82:$AL82)</f>
        <v>117</v>
      </c>
      <c r="E82" s="33">
        <f t="shared" si="16"/>
        <v>-117</v>
      </c>
      <c r="F82" s="34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>
        <v>117.0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</row>
    <row r="83" ht="15.75" customHeight="1">
      <c r="B83" s="9" t="str">
        <f>Categorias!B81</f>
        <v>ADO</v>
      </c>
      <c r="C83" s="73">
        <v>0.0</v>
      </c>
      <c r="D83" s="33">
        <f>SUM(Diciembre!$H83:$AL83)</f>
        <v>800</v>
      </c>
      <c r="E83" s="33">
        <f t="shared" si="16"/>
        <v>-800</v>
      </c>
      <c r="F83" s="34"/>
      <c r="H83" s="72"/>
      <c r="I83" s="72"/>
      <c r="J83" s="72"/>
      <c r="K83" s="72"/>
      <c r="L83" s="72"/>
      <c r="M83" s="72"/>
      <c r="N83" s="72"/>
      <c r="O83" s="72"/>
      <c r="P83" s="72">
        <v>800.0</v>
      </c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</row>
    <row r="84" ht="15.75" customHeight="1">
      <c r="B84" s="9" t="str">
        <f>Categorias!B82</f>
        <v>-</v>
      </c>
      <c r="C84" s="73">
        <v>0.0</v>
      </c>
      <c r="D84" s="33">
        <f>SUM(Diciembre!$H84:$AL84)</f>
        <v>0</v>
      </c>
      <c r="E84" s="33">
        <f t="shared" si="16"/>
        <v>0</v>
      </c>
      <c r="F84" s="34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</row>
    <row r="85" ht="15.75" customHeight="1">
      <c r="B85" s="9" t="str">
        <f>Categorias!B83</f>
        <v>-</v>
      </c>
      <c r="C85" s="73">
        <v>0.0</v>
      </c>
      <c r="D85" s="33">
        <f>SUM(Diciembre!$H85:$AL85)</f>
        <v>0</v>
      </c>
      <c r="E85" s="33">
        <f t="shared" si="16"/>
        <v>0</v>
      </c>
      <c r="F85" s="34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</row>
    <row r="86" ht="15.75" customHeight="1">
      <c r="B86" s="9" t="str">
        <f>Categorias!B84</f>
        <v>-</v>
      </c>
      <c r="C86" s="73">
        <v>0.0</v>
      </c>
      <c r="D86" s="33">
        <f>SUM(Diciembre!$H86:$AL86)</f>
        <v>0</v>
      </c>
      <c r="E86" s="33">
        <f t="shared" si="16"/>
        <v>0</v>
      </c>
      <c r="F86" s="34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</row>
    <row r="87" ht="15.75" customHeight="1">
      <c r="B87" s="14"/>
      <c r="C87" s="40"/>
      <c r="D87" s="40"/>
      <c r="E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</row>
    <row r="88" ht="15.75" customHeight="1">
      <c r="B88" s="8" t="str">
        <f>Categorias!B86</f>
        <v>HIGIENE</v>
      </c>
      <c r="C88" s="31">
        <f t="shared" ref="C88:E88" si="17">SUM(C89:C95)</f>
        <v>140</v>
      </c>
      <c r="D88" s="31">
        <f t="shared" si="17"/>
        <v>1750</v>
      </c>
      <c r="E88" s="31">
        <f t="shared" si="17"/>
        <v>-1610</v>
      </c>
      <c r="F88" s="32"/>
      <c r="H88" s="68" t="s">
        <v>95</v>
      </c>
      <c r="I88" s="68" t="s">
        <v>96</v>
      </c>
      <c r="J88" s="68" t="s">
        <v>97</v>
      </c>
      <c r="K88" s="68" t="s">
        <v>98</v>
      </c>
      <c r="L88" s="68" t="s">
        <v>99</v>
      </c>
      <c r="M88" s="68" t="s">
        <v>100</v>
      </c>
      <c r="N88" s="68" t="s">
        <v>101</v>
      </c>
      <c r="O88" s="68" t="s">
        <v>102</v>
      </c>
      <c r="P88" s="68" t="s">
        <v>103</v>
      </c>
      <c r="Q88" s="68" t="s">
        <v>104</v>
      </c>
      <c r="R88" s="68" t="s">
        <v>105</v>
      </c>
      <c r="S88" s="68" t="s">
        <v>106</v>
      </c>
      <c r="T88" s="68" t="s">
        <v>107</v>
      </c>
      <c r="U88" s="68" t="s">
        <v>108</v>
      </c>
      <c r="V88" s="68" t="s">
        <v>109</v>
      </c>
      <c r="W88" s="68" t="s">
        <v>110</v>
      </c>
      <c r="X88" s="68" t="s">
        <v>111</v>
      </c>
      <c r="Y88" s="68" t="s">
        <v>112</v>
      </c>
      <c r="Z88" s="68" t="s">
        <v>113</v>
      </c>
      <c r="AA88" s="68" t="s">
        <v>114</v>
      </c>
      <c r="AB88" s="68" t="s">
        <v>115</v>
      </c>
      <c r="AC88" s="68" t="s">
        <v>116</v>
      </c>
      <c r="AD88" s="68" t="s">
        <v>117</v>
      </c>
      <c r="AE88" s="68" t="s">
        <v>118</v>
      </c>
      <c r="AF88" s="68" t="s">
        <v>119</v>
      </c>
      <c r="AG88" s="68" t="s">
        <v>120</v>
      </c>
      <c r="AH88" s="68" t="s">
        <v>121</v>
      </c>
      <c r="AI88" s="68" t="s">
        <v>122</v>
      </c>
      <c r="AJ88" s="68" t="s">
        <v>123</v>
      </c>
      <c r="AK88" s="68" t="s">
        <v>124</v>
      </c>
      <c r="AL88" s="68" t="s">
        <v>125</v>
      </c>
    </row>
    <row r="89" ht="15.75" customHeight="1">
      <c r="B89" s="9" t="str">
        <f>Categorias!B87</f>
        <v>Cosmeticos</v>
      </c>
      <c r="C89" s="73">
        <v>0.0</v>
      </c>
      <c r="D89" s="33">
        <f>SUM(Diciembre!$H89:$AL89)</f>
        <v>0</v>
      </c>
      <c r="E89" s="33">
        <f t="shared" ref="E89:E95" si="18">C89-D89</f>
        <v>0</v>
      </c>
      <c r="F89" s="34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</row>
    <row r="90" ht="15.75" customHeight="1">
      <c r="B90" s="9" t="str">
        <f>Categorias!B88</f>
        <v>Peluquería / S. Belleza</v>
      </c>
      <c r="C90" s="73">
        <v>140.0</v>
      </c>
      <c r="D90" s="33">
        <f>SUM(Diciembre!$H90:$AL90)</f>
        <v>150</v>
      </c>
      <c r="E90" s="33">
        <f t="shared" si="18"/>
        <v>-10</v>
      </c>
      <c r="F90" s="34"/>
      <c r="H90" s="72">
        <v>150.0</v>
      </c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</row>
    <row r="91" ht="15.75" customHeight="1">
      <c r="B91" s="9" t="str">
        <f>Categorias!B89</f>
        <v>Lavanderia</v>
      </c>
      <c r="C91" s="73">
        <v>0.0</v>
      </c>
      <c r="D91" s="33">
        <f>SUM(Diciembre!$H91:$AL91)</f>
        <v>0</v>
      </c>
      <c r="E91" s="33">
        <f t="shared" si="18"/>
        <v>0</v>
      </c>
      <c r="F91" s="34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</row>
    <row r="92" ht="15.75" customHeight="1">
      <c r="B92" s="9" t="str">
        <f>Categorias!B90</f>
        <v>Productos de limpieza </v>
      </c>
      <c r="C92" s="73">
        <v>0.0</v>
      </c>
      <c r="D92" s="33">
        <f>SUM(Diciembre!$H92:$AL92)</f>
        <v>0</v>
      </c>
      <c r="E92" s="33">
        <f t="shared" si="18"/>
        <v>0</v>
      </c>
      <c r="F92" s="34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</row>
    <row r="93" ht="15.75" customHeight="1">
      <c r="B93" s="9" t="str">
        <f>Categorias!B91</f>
        <v>Otros</v>
      </c>
      <c r="C93" s="73">
        <v>0.0</v>
      </c>
      <c r="D93" s="33">
        <f>SUM(Diciembre!$H93:$AL93)</f>
        <v>1600</v>
      </c>
      <c r="E93" s="33">
        <f t="shared" si="18"/>
        <v>-1600</v>
      </c>
      <c r="F93" s="34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>
        <v>1600.0</v>
      </c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</row>
    <row r="94" ht="15.75" customHeight="1">
      <c r="B94" s="9" t="str">
        <f>Categorias!B92</f>
        <v>-</v>
      </c>
      <c r="C94" s="73">
        <v>0.0</v>
      </c>
      <c r="D94" s="33">
        <f>SUM(Diciembre!$H94:$AL94)</f>
        <v>0</v>
      </c>
      <c r="E94" s="33">
        <f t="shared" si="18"/>
        <v>0</v>
      </c>
      <c r="F94" s="34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</row>
    <row r="95" ht="15.75" customHeight="1">
      <c r="B95" s="9" t="str">
        <f>Categorias!B93</f>
        <v>-</v>
      </c>
      <c r="C95" s="73">
        <v>0.0</v>
      </c>
      <c r="D95" s="33">
        <f>SUM(Diciembre!$H95:$AL95)</f>
        <v>0</v>
      </c>
      <c r="E95" s="33">
        <f t="shared" si="18"/>
        <v>0</v>
      </c>
      <c r="F95" s="34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</row>
    <row r="96" ht="15.75" customHeight="1">
      <c r="B96" s="15"/>
      <c r="C96" s="42"/>
      <c r="D96" s="40"/>
      <c r="E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</row>
    <row r="97" ht="15.75" customHeight="1">
      <c r="B97" s="8" t="str">
        <f>Categorias!B95</f>
        <v>NIÑOS</v>
      </c>
      <c r="C97" s="31">
        <f t="shared" ref="C97:E97" si="19">SUM(C98:C105)</f>
        <v>0</v>
      </c>
      <c r="D97" s="31">
        <f t="shared" si="19"/>
        <v>0</v>
      </c>
      <c r="E97" s="31">
        <f t="shared" si="19"/>
        <v>0</v>
      </c>
      <c r="F97" s="32"/>
      <c r="H97" s="68" t="s">
        <v>95</v>
      </c>
      <c r="I97" s="68" t="s">
        <v>96</v>
      </c>
      <c r="J97" s="68" t="s">
        <v>97</v>
      </c>
      <c r="K97" s="68" t="s">
        <v>98</v>
      </c>
      <c r="L97" s="68" t="s">
        <v>99</v>
      </c>
      <c r="M97" s="68" t="s">
        <v>100</v>
      </c>
      <c r="N97" s="68" t="s">
        <v>101</v>
      </c>
      <c r="O97" s="68" t="s">
        <v>102</v>
      </c>
      <c r="P97" s="68" t="s">
        <v>103</v>
      </c>
      <c r="Q97" s="68" t="s">
        <v>104</v>
      </c>
      <c r="R97" s="68" t="s">
        <v>105</v>
      </c>
      <c r="S97" s="68" t="s">
        <v>106</v>
      </c>
      <c r="T97" s="68" t="s">
        <v>107</v>
      </c>
      <c r="U97" s="68" t="s">
        <v>108</v>
      </c>
      <c r="V97" s="68" t="s">
        <v>109</v>
      </c>
      <c r="W97" s="68" t="s">
        <v>110</v>
      </c>
      <c r="X97" s="68" t="s">
        <v>111</v>
      </c>
      <c r="Y97" s="68" t="s">
        <v>112</v>
      </c>
      <c r="Z97" s="68" t="s">
        <v>113</v>
      </c>
      <c r="AA97" s="68" t="s">
        <v>114</v>
      </c>
      <c r="AB97" s="68" t="s">
        <v>115</v>
      </c>
      <c r="AC97" s="68" t="s">
        <v>116</v>
      </c>
      <c r="AD97" s="68" t="s">
        <v>117</v>
      </c>
      <c r="AE97" s="68" t="s">
        <v>118</v>
      </c>
      <c r="AF97" s="68" t="s">
        <v>119</v>
      </c>
      <c r="AG97" s="68" t="s">
        <v>120</v>
      </c>
      <c r="AH97" s="68" t="s">
        <v>121</v>
      </c>
      <c r="AI97" s="68" t="s">
        <v>122</v>
      </c>
      <c r="AJ97" s="68" t="s">
        <v>123</v>
      </c>
      <c r="AK97" s="68" t="s">
        <v>124</v>
      </c>
      <c r="AL97" s="68" t="s">
        <v>125</v>
      </c>
    </row>
    <row r="98" ht="15.75" customHeight="1">
      <c r="B98" s="9" t="str">
        <f>Categorias!B96</f>
        <v>Jugetes/juegos</v>
      </c>
      <c r="C98" s="73">
        <v>0.0</v>
      </c>
      <c r="D98" s="33">
        <f>SUM(Diciembre!$H98:$AL98)</f>
        <v>0</v>
      </c>
      <c r="E98" s="33">
        <f t="shared" ref="E98:E105" si="20">C98-D98</f>
        <v>0</v>
      </c>
      <c r="F98" s="34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</row>
    <row r="99" ht="15.75" customHeight="1">
      <c r="B99" s="9" t="str">
        <f>Categorias!B97</f>
        <v>-</v>
      </c>
      <c r="C99" s="73">
        <v>0.0</v>
      </c>
      <c r="D99" s="33">
        <f>SUM(Diciembre!$H99:$AL99)</f>
        <v>0</v>
      </c>
      <c r="E99" s="33">
        <f t="shared" si="20"/>
        <v>0</v>
      </c>
      <c r="F99" s="34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</row>
    <row r="100" ht="15.75" customHeight="1">
      <c r="B100" s="9" t="str">
        <f>Categorias!B98</f>
        <v>-</v>
      </c>
      <c r="C100" s="73">
        <v>0.0</v>
      </c>
      <c r="D100" s="33">
        <f>SUM(Diciembre!$H100:$AL100)</f>
        <v>0</v>
      </c>
      <c r="E100" s="33">
        <f t="shared" si="20"/>
        <v>0</v>
      </c>
      <c r="F100" s="34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</row>
    <row r="101" ht="15.75" customHeight="1">
      <c r="B101" s="9" t="str">
        <f>Categorias!B99</f>
        <v>-</v>
      </c>
      <c r="C101" s="73">
        <v>0.0</v>
      </c>
      <c r="D101" s="33">
        <f>SUM(Diciembre!$H101:$AL101)</f>
        <v>0</v>
      </c>
      <c r="E101" s="33">
        <f t="shared" si="20"/>
        <v>0</v>
      </c>
      <c r="F101" s="34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</row>
    <row r="102" ht="15.75" customHeight="1">
      <c r="B102" s="9" t="str">
        <f>Categorias!B100</f>
        <v>-</v>
      </c>
      <c r="C102" s="73">
        <v>0.0</v>
      </c>
      <c r="D102" s="33">
        <f>SUM(Diciembre!$H102:$AL102)</f>
        <v>0</v>
      </c>
      <c r="E102" s="33">
        <f t="shared" si="20"/>
        <v>0</v>
      </c>
      <c r="F102" s="34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</row>
    <row r="103" ht="15.75" customHeight="1">
      <c r="B103" s="9" t="str">
        <f>Categorias!B101</f>
        <v>-</v>
      </c>
      <c r="C103" s="73">
        <v>0.0</v>
      </c>
      <c r="D103" s="33">
        <f>SUM(Diciembre!$H103:$AL103)</f>
        <v>0</v>
      </c>
      <c r="E103" s="33">
        <f t="shared" si="20"/>
        <v>0</v>
      </c>
      <c r="F103" s="34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</row>
    <row r="104" ht="15.75" customHeight="1">
      <c r="B104" s="9" t="str">
        <f>Categorias!B102</f>
        <v>-</v>
      </c>
      <c r="C104" s="73">
        <v>0.0</v>
      </c>
      <c r="D104" s="33">
        <f>SUM(Diciembre!$H104:$AL104)</f>
        <v>0</v>
      </c>
      <c r="E104" s="33">
        <f t="shared" si="20"/>
        <v>0</v>
      </c>
      <c r="F104" s="34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</row>
    <row r="105" ht="15.75" customHeight="1">
      <c r="B105" s="9" t="str">
        <f>Categorias!B103</f>
        <v>-</v>
      </c>
      <c r="C105" s="73">
        <v>0.0</v>
      </c>
      <c r="D105" s="33">
        <f>SUM(Diciembre!$H105:$AL105)</f>
        <v>0</v>
      </c>
      <c r="E105" s="33">
        <f t="shared" si="20"/>
        <v>0</v>
      </c>
      <c r="F105" s="34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</row>
    <row r="106" ht="15.75" customHeight="1">
      <c r="B106" s="15"/>
      <c r="C106" s="40"/>
      <c r="D106" s="40"/>
      <c r="E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</row>
    <row r="107" ht="15.75" customHeight="1">
      <c r="B107" s="8" t="str">
        <f>Categorias!B105</f>
        <v>DESARROLLO PERSONAL</v>
      </c>
      <c r="C107" s="31">
        <f t="shared" ref="C107:E107" si="21">SUM(C108:C113)</f>
        <v>0</v>
      </c>
      <c r="D107" s="31">
        <f t="shared" si="21"/>
        <v>0</v>
      </c>
      <c r="E107" s="31">
        <f t="shared" si="21"/>
        <v>0</v>
      </c>
      <c r="F107" s="32"/>
      <c r="H107" s="68" t="s">
        <v>95</v>
      </c>
      <c r="I107" s="68" t="s">
        <v>96</v>
      </c>
      <c r="J107" s="68" t="s">
        <v>97</v>
      </c>
      <c r="K107" s="68" t="s">
        <v>98</v>
      </c>
      <c r="L107" s="68" t="s">
        <v>99</v>
      </c>
      <c r="M107" s="68" t="s">
        <v>100</v>
      </c>
      <c r="N107" s="68" t="s">
        <v>101</v>
      </c>
      <c r="O107" s="68" t="s">
        <v>102</v>
      </c>
      <c r="P107" s="68" t="s">
        <v>103</v>
      </c>
      <c r="Q107" s="68" t="s">
        <v>104</v>
      </c>
      <c r="R107" s="68" t="s">
        <v>105</v>
      </c>
      <c r="S107" s="68" t="s">
        <v>106</v>
      </c>
      <c r="T107" s="68" t="s">
        <v>107</v>
      </c>
      <c r="U107" s="68" t="s">
        <v>108</v>
      </c>
      <c r="V107" s="68" t="s">
        <v>109</v>
      </c>
      <c r="W107" s="68" t="s">
        <v>110</v>
      </c>
      <c r="X107" s="68" t="s">
        <v>111</v>
      </c>
      <c r="Y107" s="68" t="s">
        <v>112</v>
      </c>
      <c r="Z107" s="68" t="s">
        <v>113</v>
      </c>
      <c r="AA107" s="68" t="s">
        <v>114</v>
      </c>
      <c r="AB107" s="68" t="s">
        <v>115</v>
      </c>
      <c r="AC107" s="68" t="s">
        <v>116</v>
      </c>
      <c r="AD107" s="68" t="s">
        <v>117</v>
      </c>
      <c r="AE107" s="68" t="s">
        <v>118</v>
      </c>
      <c r="AF107" s="68" t="s">
        <v>119</v>
      </c>
      <c r="AG107" s="68" t="s">
        <v>120</v>
      </c>
      <c r="AH107" s="68" t="s">
        <v>121</v>
      </c>
      <c r="AI107" s="68" t="s">
        <v>122</v>
      </c>
      <c r="AJ107" s="68" t="s">
        <v>123</v>
      </c>
      <c r="AK107" s="68" t="s">
        <v>124</v>
      </c>
      <c r="AL107" s="68" t="s">
        <v>125</v>
      </c>
    </row>
    <row r="108" ht="15.75" customHeight="1">
      <c r="B108" s="9" t="str">
        <f>Categorias!B106</f>
        <v>Libros</v>
      </c>
      <c r="C108" s="73">
        <v>0.0</v>
      </c>
      <c r="D108" s="33">
        <f>SUM(Diciembre!$H108:$AL108)</f>
        <v>0</v>
      </c>
      <c r="E108" s="33">
        <f t="shared" ref="E108:E113" si="22">C108-D108</f>
        <v>0</v>
      </c>
      <c r="F108" s="34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</row>
    <row r="109" ht="15.75" customHeight="1">
      <c r="B109" s="9" t="str">
        <f>Categorias!B107</f>
        <v>Platzi</v>
      </c>
      <c r="C109" s="73">
        <v>0.0</v>
      </c>
      <c r="D109" s="33">
        <f>SUM(Diciembre!$H109:$AL109)</f>
        <v>0</v>
      </c>
      <c r="E109" s="33">
        <f t="shared" si="22"/>
        <v>0</v>
      </c>
      <c r="F109" s="34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</row>
    <row r="110" ht="15.75" customHeight="1">
      <c r="B110" s="9" t="str">
        <f>Categorias!B108</f>
        <v>Papeleria</v>
      </c>
      <c r="C110" s="73">
        <v>0.0</v>
      </c>
      <c r="D110" s="33">
        <f>SUM(Diciembre!$H110:$AL110)</f>
        <v>0</v>
      </c>
      <c r="E110" s="33">
        <f t="shared" si="22"/>
        <v>0</v>
      </c>
      <c r="F110" s="34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</row>
    <row r="111" ht="15.75" customHeight="1">
      <c r="B111" s="9" t="str">
        <f>Categorias!B109</f>
        <v>Inglés Thiago</v>
      </c>
      <c r="C111" s="73">
        <v>0.0</v>
      </c>
      <c r="D111" s="33">
        <f>SUM(Diciembre!$H111:$AL111)</f>
        <v>0</v>
      </c>
      <c r="E111" s="33">
        <f t="shared" si="22"/>
        <v>0</v>
      </c>
      <c r="F111" s="34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</row>
    <row r="112" ht="15.75" customHeight="1">
      <c r="B112" s="9" t="str">
        <f>Categorias!B110</f>
        <v>Arte Thiago</v>
      </c>
      <c r="C112" s="73">
        <v>0.0</v>
      </c>
      <c r="D112" s="33">
        <f>SUM(Diciembre!$H112:$AL112)</f>
        <v>0</v>
      </c>
      <c r="E112" s="33">
        <f t="shared" si="22"/>
        <v>0</v>
      </c>
      <c r="F112" s="34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</row>
    <row r="113" ht="15.75" customHeight="1">
      <c r="B113" s="9" t="str">
        <f>Categorias!B111</f>
        <v>Escuela kary</v>
      </c>
      <c r="C113" s="73">
        <v>0.0</v>
      </c>
      <c r="D113" s="33">
        <f>SUM(Diciembre!$H113:$AL113)</f>
        <v>0</v>
      </c>
      <c r="E113" s="33">
        <f t="shared" si="22"/>
        <v>0</v>
      </c>
      <c r="F113" s="34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</row>
    <row r="114" ht="15.75" customHeight="1">
      <c r="B114" s="15"/>
      <c r="C114" s="40"/>
      <c r="D114" s="40"/>
      <c r="E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</row>
    <row r="115" ht="15.75" customHeight="1">
      <c r="B115" s="8" t="str">
        <f>Categorias!B113</f>
        <v>DIVERSIÓN</v>
      </c>
      <c r="C115" s="31">
        <f t="shared" ref="C115:E115" si="23">SUM(C116:C124)</f>
        <v>1300</v>
      </c>
      <c r="D115" s="31">
        <f t="shared" si="23"/>
        <v>819</v>
      </c>
      <c r="E115" s="31">
        <f t="shared" si="23"/>
        <v>481</v>
      </c>
      <c r="F115" s="32"/>
      <c r="H115" s="68" t="s">
        <v>95</v>
      </c>
      <c r="I115" s="68" t="s">
        <v>96</v>
      </c>
      <c r="J115" s="68" t="s">
        <v>97</v>
      </c>
      <c r="K115" s="68" t="s">
        <v>98</v>
      </c>
      <c r="L115" s="68" t="s">
        <v>99</v>
      </c>
      <c r="M115" s="68" t="s">
        <v>100</v>
      </c>
      <c r="N115" s="68" t="s">
        <v>101</v>
      </c>
      <c r="O115" s="68" t="s">
        <v>102</v>
      </c>
      <c r="P115" s="68" t="s">
        <v>103</v>
      </c>
      <c r="Q115" s="68" t="s">
        <v>104</v>
      </c>
      <c r="R115" s="68" t="s">
        <v>105</v>
      </c>
      <c r="S115" s="68" t="s">
        <v>106</v>
      </c>
      <c r="T115" s="68" t="s">
        <v>107</v>
      </c>
      <c r="U115" s="68" t="s">
        <v>108</v>
      </c>
      <c r="V115" s="68" t="s">
        <v>109</v>
      </c>
      <c r="W115" s="68" t="s">
        <v>110</v>
      </c>
      <c r="X115" s="68" t="s">
        <v>111</v>
      </c>
      <c r="Y115" s="68" t="s">
        <v>112</v>
      </c>
      <c r="Z115" s="68" t="s">
        <v>113</v>
      </c>
      <c r="AA115" s="68" t="s">
        <v>114</v>
      </c>
      <c r="AB115" s="68" t="s">
        <v>115</v>
      </c>
      <c r="AC115" s="68" t="s">
        <v>116</v>
      </c>
      <c r="AD115" s="68" t="s">
        <v>117</v>
      </c>
      <c r="AE115" s="68" t="s">
        <v>118</v>
      </c>
      <c r="AF115" s="68" t="s">
        <v>119</v>
      </c>
      <c r="AG115" s="68" t="s">
        <v>120</v>
      </c>
      <c r="AH115" s="68" t="s">
        <v>121</v>
      </c>
      <c r="AI115" s="68" t="s">
        <v>122</v>
      </c>
      <c r="AJ115" s="68" t="s">
        <v>123</v>
      </c>
      <c r="AK115" s="68" t="s">
        <v>124</v>
      </c>
      <c r="AL115" s="68" t="s">
        <v>125</v>
      </c>
    </row>
    <row r="116" ht="15.75" customHeight="1">
      <c r="B116" s="9" t="str">
        <f>Categorias!B114</f>
        <v>Cine/teatro</v>
      </c>
      <c r="C116" s="73">
        <v>0.0</v>
      </c>
      <c r="D116" s="33">
        <f>SUM(Diciembre!$H116:$AL116)</f>
        <v>763</v>
      </c>
      <c r="E116" s="33">
        <f t="shared" ref="E116:E124" si="24">C116-D116</f>
        <v>-763</v>
      </c>
      <c r="F116" s="34"/>
      <c r="H116" s="72">
        <v>763.0</v>
      </c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</row>
    <row r="117" ht="15.75" customHeight="1">
      <c r="B117" s="9" t="str">
        <f>Categorias!B115</f>
        <v>Gimnasio/piscina</v>
      </c>
      <c r="C117" s="73">
        <v>1300.0</v>
      </c>
      <c r="D117" s="33">
        <f>SUM(Diciembre!$H117:$AL117)</f>
        <v>0</v>
      </c>
      <c r="E117" s="33">
        <f t="shared" si="24"/>
        <v>1300</v>
      </c>
      <c r="F117" s="34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</row>
    <row r="118" ht="15.75" customHeight="1">
      <c r="B118" s="9" t="str">
        <f>Categorias!B116</f>
        <v>-</v>
      </c>
      <c r="C118" s="73">
        <v>0.0</v>
      </c>
      <c r="D118" s="33">
        <f>SUM(Diciembre!$H118:$AL118)</f>
        <v>56</v>
      </c>
      <c r="E118" s="33">
        <f t="shared" si="24"/>
        <v>-56</v>
      </c>
      <c r="F118" s="34"/>
      <c r="H118" s="72">
        <v>56.0</v>
      </c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</row>
    <row r="119" ht="15.75" customHeight="1">
      <c r="B119" s="9" t="str">
        <f>Categorias!B117</f>
        <v>-</v>
      </c>
      <c r="C119" s="73">
        <v>0.0</v>
      </c>
      <c r="D119" s="33">
        <f>SUM(Diciembre!$H119:$AL119)</f>
        <v>0</v>
      </c>
      <c r="E119" s="33">
        <f t="shared" si="24"/>
        <v>0</v>
      </c>
      <c r="F119" s="34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</row>
    <row r="120" ht="15.75" customHeight="1">
      <c r="B120" s="9" t="str">
        <f>Categorias!B118</f>
        <v>-</v>
      </c>
      <c r="C120" s="73">
        <v>0.0</v>
      </c>
      <c r="D120" s="33">
        <f>SUM(Diciembre!$H120:$AL120)</f>
        <v>0</v>
      </c>
      <c r="E120" s="33">
        <f t="shared" si="24"/>
        <v>0</v>
      </c>
      <c r="F120" s="34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</row>
    <row r="121" ht="15.75" customHeight="1">
      <c r="B121" s="9" t="str">
        <f>Categorias!B119</f>
        <v>-</v>
      </c>
      <c r="C121" s="73">
        <v>0.0</v>
      </c>
      <c r="D121" s="33">
        <f>SUM(Diciembre!$H121:$AL121)</f>
        <v>0</v>
      </c>
      <c r="E121" s="33">
        <f t="shared" si="24"/>
        <v>0</v>
      </c>
      <c r="F121" s="34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</row>
    <row r="122" ht="15.75" customHeight="1">
      <c r="B122" s="9" t="str">
        <f>Categorias!B120</f>
        <v>-</v>
      </c>
      <c r="C122" s="73">
        <v>0.0</v>
      </c>
      <c r="D122" s="33">
        <f>SUM(Diciembre!$H122:$AL122)</f>
        <v>0</v>
      </c>
      <c r="E122" s="33">
        <f t="shared" si="24"/>
        <v>0</v>
      </c>
      <c r="F122" s="34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</row>
    <row r="123" ht="15.75" customHeight="1">
      <c r="B123" s="9" t="str">
        <f>Categorias!B121</f>
        <v>-</v>
      </c>
      <c r="C123" s="73">
        <v>0.0</v>
      </c>
      <c r="D123" s="33">
        <f>SUM(Diciembre!$H123:$AL123)</f>
        <v>0</v>
      </c>
      <c r="E123" s="33">
        <f t="shared" si="24"/>
        <v>0</v>
      </c>
      <c r="F123" s="34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</row>
    <row r="124" ht="15.75" customHeight="1">
      <c r="B124" s="9" t="str">
        <f>Categorias!B122</f>
        <v>-</v>
      </c>
      <c r="C124" s="73">
        <v>0.0</v>
      </c>
      <c r="D124" s="33">
        <f>SUM(Diciembre!$H124:$AL124)</f>
        <v>0</v>
      </c>
      <c r="E124" s="33">
        <f t="shared" si="24"/>
        <v>0</v>
      </c>
      <c r="F124" s="34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</row>
    <row r="125" ht="15.75" customHeight="1">
      <c r="B125" s="15" t="s">
        <v>63</v>
      </c>
      <c r="C125" s="40"/>
      <c r="D125" s="40"/>
      <c r="E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</row>
    <row r="126" ht="15.75" customHeight="1">
      <c r="B126" s="8" t="str">
        <f>Categorias!B124</f>
        <v>DEUDAS</v>
      </c>
      <c r="C126" s="31">
        <f t="shared" ref="C126:E126" si="25">SUM(C127:C134)</f>
        <v>4600</v>
      </c>
      <c r="D126" s="31">
        <f t="shared" si="25"/>
        <v>0</v>
      </c>
      <c r="E126" s="31">
        <f t="shared" si="25"/>
        <v>4600</v>
      </c>
      <c r="F126" s="32"/>
      <c r="H126" s="68" t="s">
        <v>95</v>
      </c>
      <c r="I126" s="68" t="s">
        <v>96</v>
      </c>
      <c r="J126" s="68" t="s">
        <v>97</v>
      </c>
      <c r="K126" s="68" t="s">
        <v>98</v>
      </c>
      <c r="L126" s="68" t="s">
        <v>99</v>
      </c>
      <c r="M126" s="68" t="s">
        <v>100</v>
      </c>
      <c r="N126" s="68" t="s">
        <v>101</v>
      </c>
      <c r="O126" s="68" t="s">
        <v>102</v>
      </c>
      <c r="P126" s="68" t="s">
        <v>103</v>
      </c>
      <c r="Q126" s="68" t="s">
        <v>104</v>
      </c>
      <c r="R126" s="68" t="s">
        <v>105</v>
      </c>
      <c r="S126" s="68" t="s">
        <v>106</v>
      </c>
      <c r="T126" s="68" t="s">
        <v>107</v>
      </c>
      <c r="U126" s="68" t="s">
        <v>108</v>
      </c>
      <c r="V126" s="68" t="s">
        <v>109</v>
      </c>
      <c r="W126" s="68" t="s">
        <v>110</v>
      </c>
      <c r="X126" s="68" t="s">
        <v>111</v>
      </c>
      <c r="Y126" s="68" t="s">
        <v>112</v>
      </c>
      <c r="Z126" s="68" t="s">
        <v>113</v>
      </c>
      <c r="AA126" s="68" t="s">
        <v>114</v>
      </c>
      <c r="AB126" s="68" t="s">
        <v>115</v>
      </c>
      <c r="AC126" s="68" t="s">
        <v>116</v>
      </c>
      <c r="AD126" s="68" t="s">
        <v>117</v>
      </c>
      <c r="AE126" s="68" t="s">
        <v>118</v>
      </c>
      <c r="AF126" s="68" t="s">
        <v>119</v>
      </c>
      <c r="AG126" s="68" t="s">
        <v>120</v>
      </c>
      <c r="AH126" s="68" t="s">
        <v>121</v>
      </c>
      <c r="AI126" s="68" t="s">
        <v>122</v>
      </c>
      <c r="AJ126" s="68" t="s">
        <v>123</v>
      </c>
      <c r="AK126" s="68" t="s">
        <v>124</v>
      </c>
      <c r="AL126" s="68" t="s">
        <v>125</v>
      </c>
    </row>
    <row r="127" ht="15.75" customHeight="1">
      <c r="B127" s="9" t="str">
        <f>Categorias!B125</f>
        <v>Anualidad Prestige</v>
      </c>
      <c r="C127" s="73">
        <v>3200.0</v>
      </c>
      <c r="D127" s="33">
        <f>SUM(Diciembre!$H127:$AL127)</f>
        <v>0</v>
      </c>
      <c r="E127" s="33">
        <f t="shared" ref="E127:E134" si="26">C127-D127</f>
        <v>3200</v>
      </c>
      <c r="F127" s="34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</row>
    <row r="128" ht="15.75" customHeight="1">
      <c r="B128" s="9" t="str">
        <f>Categorias!B126</f>
        <v>Anualidad Platinum</v>
      </c>
      <c r="C128" s="73">
        <v>700.0</v>
      </c>
      <c r="D128" s="33">
        <f>SUM(Diciembre!$H128:$AL128)</f>
        <v>0</v>
      </c>
      <c r="E128" s="33">
        <f t="shared" si="26"/>
        <v>700</v>
      </c>
      <c r="F128" s="34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</row>
    <row r="129" ht="15.75" customHeight="1">
      <c r="B129" s="9" t="str">
        <f>Categorias!B127</f>
        <v>-</v>
      </c>
      <c r="C129" s="73">
        <v>700.0</v>
      </c>
      <c r="D129" s="33">
        <f>SUM(Diciembre!$H129:$AL129)</f>
        <v>0</v>
      </c>
      <c r="E129" s="33">
        <f t="shared" si="26"/>
        <v>700</v>
      </c>
      <c r="F129" s="34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</row>
    <row r="130" ht="15.75" customHeight="1">
      <c r="B130" s="9" t="str">
        <f>Categorias!B128</f>
        <v>-</v>
      </c>
      <c r="C130" s="73">
        <v>0.0</v>
      </c>
      <c r="D130" s="33">
        <f>SUM(Diciembre!$H130:$AL130)</f>
        <v>0</v>
      </c>
      <c r="E130" s="33">
        <f t="shared" si="26"/>
        <v>0</v>
      </c>
      <c r="F130" s="34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</row>
    <row r="131" ht="15.75" customHeight="1">
      <c r="B131" s="9" t="str">
        <f>Categorias!B129</f>
        <v>-</v>
      </c>
      <c r="C131" s="73">
        <v>0.0</v>
      </c>
      <c r="D131" s="33">
        <f>SUM(Diciembre!$H131:$AL131)</f>
        <v>0</v>
      </c>
      <c r="E131" s="33">
        <f t="shared" si="26"/>
        <v>0</v>
      </c>
      <c r="F131" s="34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</row>
    <row r="132" ht="15.75" customHeight="1">
      <c r="B132" s="9" t="str">
        <f>Categorias!B130</f>
        <v>-</v>
      </c>
      <c r="C132" s="73">
        <v>0.0</v>
      </c>
      <c r="D132" s="33">
        <f>SUM(Diciembre!$H132:$AL132)</f>
        <v>0</v>
      </c>
      <c r="E132" s="33">
        <f t="shared" si="26"/>
        <v>0</v>
      </c>
      <c r="F132" s="34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</row>
    <row r="133" ht="15.75" customHeight="1">
      <c r="B133" s="9" t="str">
        <f>Categorias!B131</f>
        <v>-</v>
      </c>
      <c r="C133" s="73">
        <v>0.0</v>
      </c>
      <c r="D133" s="33">
        <f>SUM(Diciembre!$H133:$AL133)</f>
        <v>0</v>
      </c>
      <c r="E133" s="33">
        <f t="shared" si="26"/>
        <v>0</v>
      </c>
      <c r="F133" s="34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</row>
    <row r="134" ht="15.75" customHeight="1">
      <c r="B134" s="9" t="str">
        <f>Categorias!B132</f>
        <v>-</v>
      </c>
      <c r="C134" s="73">
        <v>0.0</v>
      </c>
      <c r="D134" s="33">
        <f>SUM(Diciembre!$H134:$AL134)</f>
        <v>0</v>
      </c>
      <c r="E134" s="33">
        <f t="shared" si="26"/>
        <v>0</v>
      </c>
      <c r="F134" s="34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</row>
    <row r="135" ht="15.75" customHeight="1">
      <c r="B135" s="13"/>
      <c r="C135" s="40"/>
      <c r="D135" s="40"/>
      <c r="E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</row>
    <row r="136" ht="15.75" customHeight="1">
      <c r="B136" s="8" t="str">
        <f>Categorias!B134</f>
        <v>OTROS GASTOS</v>
      </c>
      <c r="C136" s="31">
        <f t="shared" ref="C136:E136" si="27">SUM(C137:C144)</f>
        <v>400</v>
      </c>
      <c r="D136" s="31">
        <f t="shared" si="27"/>
        <v>0</v>
      </c>
      <c r="E136" s="31">
        <f t="shared" si="27"/>
        <v>400</v>
      </c>
      <c r="F136" s="32"/>
      <c r="H136" s="68" t="s">
        <v>95</v>
      </c>
      <c r="I136" s="68" t="s">
        <v>96</v>
      </c>
      <c r="J136" s="68" t="s">
        <v>97</v>
      </c>
      <c r="K136" s="68" t="s">
        <v>98</v>
      </c>
      <c r="L136" s="68" t="s">
        <v>99</v>
      </c>
      <c r="M136" s="68" t="s">
        <v>100</v>
      </c>
      <c r="N136" s="68" t="s">
        <v>101</v>
      </c>
      <c r="O136" s="68" t="s">
        <v>102</v>
      </c>
      <c r="P136" s="68" t="s">
        <v>103</v>
      </c>
      <c r="Q136" s="68" t="s">
        <v>104</v>
      </c>
      <c r="R136" s="68" t="s">
        <v>105</v>
      </c>
      <c r="S136" s="68" t="s">
        <v>106</v>
      </c>
      <c r="T136" s="68" t="s">
        <v>107</v>
      </c>
      <c r="U136" s="68" t="s">
        <v>108</v>
      </c>
      <c r="V136" s="68" t="s">
        <v>109</v>
      </c>
      <c r="W136" s="68" t="s">
        <v>110</v>
      </c>
      <c r="X136" s="68" t="s">
        <v>111</v>
      </c>
      <c r="Y136" s="68" t="s">
        <v>112</v>
      </c>
      <c r="Z136" s="68" t="s">
        <v>113</v>
      </c>
      <c r="AA136" s="68" t="s">
        <v>114</v>
      </c>
      <c r="AB136" s="68" t="s">
        <v>115</v>
      </c>
      <c r="AC136" s="68" t="s">
        <v>116</v>
      </c>
      <c r="AD136" s="68" t="s">
        <v>117</v>
      </c>
      <c r="AE136" s="68" t="s">
        <v>118</v>
      </c>
      <c r="AF136" s="68" t="s">
        <v>119</v>
      </c>
      <c r="AG136" s="68" t="s">
        <v>120</v>
      </c>
      <c r="AH136" s="68" t="s">
        <v>121</v>
      </c>
      <c r="AI136" s="68" t="s">
        <v>122</v>
      </c>
      <c r="AJ136" s="68" t="s">
        <v>123</v>
      </c>
      <c r="AK136" s="68" t="s">
        <v>124</v>
      </c>
      <c r="AL136" s="68" t="s">
        <v>125</v>
      </c>
    </row>
    <row r="137" ht="15.75" customHeight="1">
      <c r="B137" s="9" t="str">
        <f>Categorias!B135</f>
        <v>Regalos</v>
      </c>
      <c r="C137" s="73">
        <v>0.0</v>
      </c>
      <c r="D137" s="33">
        <f>SUM(Diciembre!$H137:$AL137)</f>
        <v>0</v>
      </c>
      <c r="E137" s="33">
        <f t="shared" ref="E137:E144" si="28">C137-D137</f>
        <v>0</v>
      </c>
      <c r="F137" s="34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</row>
    <row r="138" ht="15.75" customHeight="1">
      <c r="B138" s="9" t="str">
        <f>Categorias!B136</f>
        <v>Vacaciones</v>
      </c>
      <c r="C138" s="73">
        <v>0.0</v>
      </c>
      <c r="D138" s="33">
        <f>SUM(Diciembre!$H138:$AL138)</f>
        <v>0</v>
      </c>
      <c r="E138" s="33">
        <f t="shared" si="28"/>
        <v>0</v>
      </c>
      <c r="F138" s="34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</row>
    <row r="139" ht="15.75" customHeight="1">
      <c r="B139" s="9" t="str">
        <f>Categorias!B137</f>
        <v>Veterinario</v>
      </c>
      <c r="C139" s="73">
        <v>200.0</v>
      </c>
      <c r="D139" s="33">
        <f>SUM(Diciembre!$H139:$AL139)</f>
        <v>0</v>
      </c>
      <c r="E139" s="33">
        <f t="shared" si="28"/>
        <v>200</v>
      </c>
      <c r="F139" s="34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</row>
    <row r="140" ht="15.75" customHeight="1">
      <c r="B140" s="9" t="str">
        <f>Categorias!B138</f>
        <v>Comida mascota</v>
      </c>
      <c r="C140" s="73">
        <v>200.0</v>
      </c>
      <c r="D140" s="33">
        <f>SUM(Diciembre!$H140:$AL140)</f>
        <v>0</v>
      </c>
      <c r="E140" s="33">
        <f t="shared" si="28"/>
        <v>200</v>
      </c>
      <c r="F140" s="34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</row>
    <row r="141" ht="15.75" customHeight="1">
      <c r="B141" s="9" t="str">
        <f>Categorias!B139</f>
        <v>-</v>
      </c>
      <c r="C141" s="73">
        <v>0.0</v>
      </c>
      <c r="D141" s="33">
        <f>SUM(Diciembre!$H141:$AL141)</f>
        <v>0</v>
      </c>
      <c r="E141" s="33">
        <f t="shared" si="28"/>
        <v>0</v>
      </c>
      <c r="F141" s="34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</row>
    <row r="142" ht="15.75" customHeight="1">
      <c r="B142" s="9" t="str">
        <f>Categorias!B140</f>
        <v>-</v>
      </c>
      <c r="C142" s="73">
        <v>0.0</v>
      </c>
      <c r="D142" s="33">
        <f>SUM(Diciembre!$H142:$AL142)</f>
        <v>0</v>
      </c>
      <c r="E142" s="33">
        <f t="shared" si="28"/>
        <v>0</v>
      </c>
      <c r="F142" s="34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</row>
    <row r="143" ht="15.75" customHeight="1">
      <c r="B143" s="9" t="str">
        <f>Categorias!B141</f>
        <v>-</v>
      </c>
      <c r="C143" s="73">
        <v>0.0</v>
      </c>
      <c r="D143" s="33">
        <f>SUM(Diciembre!$H143:$AL143)</f>
        <v>0</v>
      </c>
      <c r="E143" s="33">
        <f t="shared" si="28"/>
        <v>0</v>
      </c>
      <c r="F143" s="34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</row>
    <row r="144" ht="15.75" customHeight="1">
      <c r="B144" s="9" t="str">
        <f>Categorias!B142</f>
        <v>-</v>
      </c>
      <c r="C144" s="73">
        <v>0.0</v>
      </c>
      <c r="D144" s="33">
        <f>SUM(Diciembre!$H144:$AL144)</f>
        <v>0</v>
      </c>
      <c r="E144" s="33">
        <f t="shared" si="28"/>
        <v>0</v>
      </c>
      <c r="F144" s="34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</row>
    <row r="145" ht="15.75" customHeight="1">
      <c r="B145" s="15"/>
      <c r="C145" s="40"/>
      <c r="D145" s="40"/>
      <c r="E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</row>
    <row r="146" ht="15.75" customHeight="1">
      <c r="B146" s="8" t="str">
        <f>Categorias!B144</f>
        <v>AHORROS</v>
      </c>
      <c r="C146" s="31">
        <f t="shared" ref="C146:E146" si="29">SUM(C147:C156)</f>
        <v>2000</v>
      </c>
      <c r="D146" s="31">
        <f t="shared" si="29"/>
        <v>0</v>
      </c>
      <c r="E146" s="31">
        <f t="shared" si="29"/>
        <v>2000</v>
      </c>
      <c r="F146" s="32"/>
      <c r="H146" s="68" t="s">
        <v>95</v>
      </c>
      <c r="I146" s="68" t="s">
        <v>96</v>
      </c>
      <c r="J146" s="68" t="s">
        <v>97</v>
      </c>
      <c r="K146" s="68" t="s">
        <v>98</v>
      </c>
      <c r="L146" s="68" t="s">
        <v>99</v>
      </c>
      <c r="M146" s="68" t="s">
        <v>100</v>
      </c>
      <c r="N146" s="68" t="s">
        <v>101</v>
      </c>
      <c r="O146" s="68" t="s">
        <v>102</v>
      </c>
      <c r="P146" s="68" t="s">
        <v>103</v>
      </c>
      <c r="Q146" s="68" t="s">
        <v>104</v>
      </c>
      <c r="R146" s="68" t="s">
        <v>105</v>
      </c>
      <c r="S146" s="68" t="s">
        <v>106</v>
      </c>
      <c r="T146" s="68" t="s">
        <v>107</v>
      </c>
      <c r="U146" s="68" t="s">
        <v>108</v>
      </c>
      <c r="V146" s="68" t="s">
        <v>109</v>
      </c>
      <c r="W146" s="68" t="s">
        <v>110</v>
      </c>
      <c r="X146" s="68" t="s">
        <v>111</v>
      </c>
      <c r="Y146" s="68" t="s">
        <v>112</v>
      </c>
      <c r="Z146" s="68" t="s">
        <v>113</v>
      </c>
      <c r="AA146" s="68" t="s">
        <v>114</v>
      </c>
      <c r="AB146" s="68" t="s">
        <v>115</v>
      </c>
      <c r="AC146" s="68" t="s">
        <v>116</v>
      </c>
      <c r="AD146" s="68" t="s">
        <v>117</v>
      </c>
      <c r="AE146" s="68" t="s">
        <v>118</v>
      </c>
      <c r="AF146" s="68" t="s">
        <v>119</v>
      </c>
      <c r="AG146" s="68" t="s">
        <v>120</v>
      </c>
      <c r="AH146" s="68" t="s">
        <v>121</v>
      </c>
      <c r="AI146" s="68" t="s">
        <v>122</v>
      </c>
      <c r="AJ146" s="68" t="s">
        <v>123</v>
      </c>
      <c r="AK146" s="68" t="s">
        <v>124</v>
      </c>
      <c r="AL146" s="68" t="s">
        <v>125</v>
      </c>
    </row>
    <row r="147" ht="15.75" customHeight="1">
      <c r="B147" s="9" t="str">
        <f>Categorias!B145</f>
        <v>Ahorro Inversion</v>
      </c>
      <c r="C147" s="73">
        <v>2000.0</v>
      </c>
      <c r="D147" s="33">
        <f>SUM(Diciembre!$H147:$AL147)</f>
        <v>0</v>
      </c>
      <c r="E147" s="33">
        <f t="shared" ref="E147:E156" si="30">C147-D147</f>
        <v>2000</v>
      </c>
      <c r="F147" s="34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</row>
    <row r="148" ht="15.75" customHeight="1">
      <c r="B148" s="9" t="str">
        <f>Categorias!B146</f>
        <v>-</v>
      </c>
      <c r="C148" s="73">
        <v>0.0</v>
      </c>
      <c r="D148" s="33">
        <f>SUM(Diciembre!$H148:$AL148)</f>
        <v>0</v>
      </c>
      <c r="E148" s="33">
        <f t="shared" si="30"/>
        <v>0</v>
      </c>
      <c r="F148" s="34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</row>
    <row r="149" ht="15.75" customHeight="1">
      <c r="B149" s="9" t="str">
        <f>Categorias!B147</f>
        <v>-</v>
      </c>
      <c r="C149" s="73">
        <v>0.0</v>
      </c>
      <c r="D149" s="33">
        <f>SUM(Diciembre!$H149:$AL149)</f>
        <v>0</v>
      </c>
      <c r="E149" s="33">
        <f t="shared" si="30"/>
        <v>0</v>
      </c>
      <c r="F149" s="34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</row>
    <row r="150" ht="15.75" customHeight="1">
      <c r="B150" s="9" t="str">
        <f>Categorias!B148</f>
        <v>-</v>
      </c>
      <c r="C150" s="73">
        <v>0.0</v>
      </c>
      <c r="D150" s="33">
        <f>SUM(Diciembre!$H150:$AL150)</f>
        <v>0</v>
      </c>
      <c r="E150" s="33">
        <f t="shared" si="30"/>
        <v>0</v>
      </c>
      <c r="F150" s="34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</row>
    <row r="151" ht="15.75" customHeight="1">
      <c r="B151" s="9" t="str">
        <f>Categorias!B149</f>
        <v>-</v>
      </c>
      <c r="C151" s="73">
        <v>0.0</v>
      </c>
      <c r="D151" s="33">
        <f>SUM(Diciembre!$H151:$AL151)</f>
        <v>0</v>
      </c>
      <c r="E151" s="33">
        <f t="shared" si="30"/>
        <v>0</v>
      </c>
      <c r="F151" s="34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</row>
    <row r="152" ht="15.75" customHeight="1">
      <c r="B152" s="9" t="str">
        <f>Categorias!B150</f>
        <v>-</v>
      </c>
      <c r="C152" s="73">
        <v>0.0</v>
      </c>
      <c r="D152" s="33">
        <f>SUM(Diciembre!$H152:$AL152)</f>
        <v>0</v>
      </c>
      <c r="E152" s="33">
        <f t="shared" si="30"/>
        <v>0</v>
      </c>
      <c r="F152" s="34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</row>
    <row r="153" ht="15.75" customHeight="1">
      <c r="B153" s="9" t="str">
        <f>Categorias!B151</f>
        <v>-</v>
      </c>
      <c r="C153" s="73">
        <v>0.0</v>
      </c>
      <c r="D153" s="33">
        <f>SUM(Diciembre!$H153:$AL153)</f>
        <v>0</v>
      </c>
      <c r="E153" s="33">
        <f t="shared" si="30"/>
        <v>0</v>
      </c>
      <c r="F153" s="34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</row>
    <row r="154" ht="15.75" customHeight="1">
      <c r="B154" s="9" t="str">
        <f>Categorias!B152</f>
        <v>-</v>
      </c>
      <c r="C154" s="73">
        <v>0.0</v>
      </c>
      <c r="D154" s="33">
        <f>SUM(Diciembre!$H154:$AL154)</f>
        <v>0</v>
      </c>
      <c r="E154" s="33">
        <f t="shared" si="30"/>
        <v>0</v>
      </c>
      <c r="F154" s="34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</row>
    <row r="155" ht="15.75" customHeight="1">
      <c r="B155" s="9" t="str">
        <f>Categorias!B153</f>
        <v>-</v>
      </c>
      <c r="C155" s="73">
        <v>0.0</v>
      </c>
      <c r="D155" s="33">
        <f>SUM(Diciembre!$H155:$AL155)</f>
        <v>0</v>
      </c>
      <c r="E155" s="33">
        <f t="shared" si="30"/>
        <v>0</v>
      </c>
      <c r="F155" s="34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</row>
    <row r="156" ht="15.75" customHeight="1">
      <c r="B156" s="9" t="str">
        <f>Categorias!B154</f>
        <v>-</v>
      </c>
      <c r="C156" s="73">
        <v>0.0</v>
      </c>
      <c r="D156" s="33">
        <f>SUM(Diciembre!$H156:$AL156)</f>
        <v>0</v>
      </c>
      <c r="E156" s="33">
        <f t="shared" si="30"/>
        <v>0</v>
      </c>
      <c r="F156" s="34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</row>
    <row r="157" ht="15.75" customHeight="1">
      <c r="A157" s="43"/>
      <c r="B157" s="16"/>
      <c r="C157" s="42"/>
      <c r="D157" s="42"/>
      <c r="E157" s="42"/>
      <c r="F157" s="43"/>
      <c r="G157" s="43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ht="15.75" customHeight="1">
      <c r="B158" s="8" t="str">
        <f>Categorias!B156</f>
        <v>OTROS</v>
      </c>
      <c r="C158" s="31">
        <f t="shared" ref="C158:E158" si="31">SUM(C159:C166)</f>
        <v>0</v>
      </c>
      <c r="D158" s="31">
        <f t="shared" si="31"/>
        <v>0</v>
      </c>
      <c r="E158" s="31">
        <f t="shared" si="31"/>
        <v>0</v>
      </c>
      <c r="F158" s="32"/>
      <c r="H158" s="68" t="s">
        <v>95</v>
      </c>
      <c r="I158" s="68" t="s">
        <v>96</v>
      </c>
      <c r="J158" s="68" t="s">
        <v>97</v>
      </c>
      <c r="K158" s="68" t="s">
        <v>98</v>
      </c>
      <c r="L158" s="68" t="s">
        <v>99</v>
      </c>
      <c r="M158" s="68" t="s">
        <v>100</v>
      </c>
      <c r="N158" s="68" t="s">
        <v>101</v>
      </c>
      <c r="O158" s="68" t="s">
        <v>102</v>
      </c>
      <c r="P158" s="68" t="s">
        <v>103</v>
      </c>
      <c r="Q158" s="68" t="s">
        <v>104</v>
      </c>
      <c r="R158" s="68" t="s">
        <v>105</v>
      </c>
      <c r="S158" s="68" t="s">
        <v>106</v>
      </c>
      <c r="T158" s="68" t="s">
        <v>107</v>
      </c>
      <c r="U158" s="68" t="s">
        <v>108</v>
      </c>
      <c r="V158" s="68" t="s">
        <v>109</v>
      </c>
      <c r="W158" s="68" t="s">
        <v>110</v>
      </c>
      <c r="X158" s="68" t="s">
        <v>111</v>
      </c>
      <c r="Y158" s="68" t="s">
        <v>112</v>
      </c>
      <c r="Z158" s="68" t="s">
        <v>113</v>
      </c>
      <c r="AA158" s="68" t="s">
        <v>114</v>
      </c>
      <c r="AB158" s="68" t="s">
        <v>115</v>
      </c>
      <c r="AC158" s="68" t="s">
        <v>116</v>
      </c>
      <c r="AD158" s="68" t="s">
        <v>117</v>
      </c>
      <c r="AE158" s="68" t="s">
        <v>118</v>
      </c>
      <c r="AF158" s="68" t="s">
        <v>119</v>
      </c>
      <c r="AG158" s="68" t="s">
        <v>120</v>
      </c>
      <c r="AH158" s="68" t="s">
        <v>121</v>
      </c>
      <c r="AI158" s="68" t="s">
        <v>122</v>
      </c>
      <c r="AJ158" s="68" t="s">
        <v>123</v>
      </c>
      <c r="AK158" s="68" t="s">
        <v>124</v>
      </c>
      <c r="AL158" s="68" t="s">
        <v>125</v>
      </c>
    </row>
    <row r="159" ht="15.75" customHeight="1">
      <c r="B159" s="9" t="str">
        <f>Categorias!B157</f>
        <v>-</v>
      </c>
      <c r="C159" s="73">
        <v>0.0</v>
      </c>
      <c r="D159" s="33">
        <f>SUM(Diciembre!$H159:$AL159)</f>
        <v>0</v>
      </c>
      <c r="E159" s="33">
        <f t="shared" ref="E159:E166" si="32">C159-D159</f>
        <v>0</v>
      </c>
      <c r="F159" s="34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</row>
    <row r="160" ht="15.75" customHeight="1">
      <c r="B160" s="9" t="str">
        <f>Categorias!B158</f>
        <v>-</v>
      </c>
      <c r="C160" s="73">
        <v>0.0</v>
      </c>
      <c r="D160" s="33">
        <f>SUM(Diciembre!$H160:$AL160)</f>
        <v>0</v>
      </c>
      <c r="E160" s="33">
        <f t="shared" si="32"/>
        <v>0</v>
      </c>
      <c r="F160" s="34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</row>
    <row r="161" ht="15.75" customHeight="1">
      <c r="B161" s="9" t="str">
        <f>Categorias!B159</f>
        <v>-</v>
      </c>
      <c r="C161" s="73">
        <v>0.0</v>
      </c>
      <c r="D161" s="33">
        <f>SUM(Diciembre!$H161:$AL161)</f>
        <v>0</v>
      </c>
      <c r="E161" s="33">
        <f t="shared" si="32"/>
        <v>0</v>
      </c>
      <c r="F161" s="34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</row>
    <row r="162" ht="15.75" customHeight="1">
      <c r="B162" s="9" t="str">
        <f>Categorias!B160</f>
        <v>-</v>
      </c>
      <c r="C162" s="73">
        <v>0.0</v>
      </c>
      <c r="D162" s="33">
        <f>SUM(Diciembre!$H162:$AL162)</f>
        <v>0</v>
      </c>
      <c r="E162" s="33">
        <f t="shared" si="32"/>
        <v>0</v>
      </c>
      <c r="F162" s="34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</row>
    <row r="163" ht="15.75" customHeight="1">
      <c r="B163" s="9" t="str">
        <f>Categorias!B161</f>
        <v>-</v>
      </c>
      <c r="C163" s="73">
        <v>0.0</v>
      </c>
      <c r="D163" s="33">
        <f>SUM(Diciembre!$H163:$AL163)</f>
        <v>0</v>
      </c>
      <c r="E163" s="33">
        <f t="shared" si="32"/>
        <v>0</v>
      </c>
      <c r="F163" s="34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</row>
    <row r="164" ht="15.75" customHeight="1">
      <c r="B164" s="9" t="str">
        <f>Categorias!B162</f>
        <v>-</v>
      </c>
      <c r="C164" s="73">
        <v>0.0</v>
      </c>
      <c r="D164" s="33">
        <f>SUM(Diciembre!$H164:$AL164)</f>
        <v>0</v>
      </c>
      <c r="E164" s="33">
        <f t="shared" si="32"/>
        <v>0</v>
      </c>
      <c r="F164" s="34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</row>
    <row r="165" ht="15.75" customHeight="1">
      <c r="B165" s="9" t="str">
        <f>Categorias!B163</f>
        <v>-</v>
      </c>
      <c r="C165" s="73">
        <v>0.0</v>
      </c>
      <c r="D165" s="33">
        <f>SUM(Diciembre!$H165:$AL165)</f>
        <v>0</v>
      </c>
      <c r="E165" s="33">
        <f t="shared" si="32"/>
        <v>0</v>
      </c>
      <c r="F165" s="34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</row>
    <row r="166" ht="15.75" customHeight="1">
      <c r="B166" s="9" t="str">
        <f>Categorias!B164</f>
        <v>-</v>
      </c>
      <c r="C166" s="73">
        <v>0.0</v>
      </c>
      <c r="D166" s="33">
        <f>SUM(Diciembre!$H166:$AL166)</f>
        <v>0</v>
      </c>
      <c r="E166" s="33">
        <f t="shared" si="32"/>
        <v>0</v>
      </c>
      <c r="F166" s="34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</row>
    <row r="167" ht="15.75" customHeight="1">
      <c r="B167" s="16"/>
      <c r="E167" s="43"/>
    </row>
    <row r="168" ht="30.0" customHeight="1">
      <c r="A168" s="44"/>
      <c r="B168" s="16"/>
      <c r="C168" s="26" t="s">
        <v>85</v>
      </c>
      <c r="D168" s="26" t="s">
        <v>87</v>
      </c>
      <c r="E168" s="26" t="s">
        <v>82</v>
      </c>
      <c r="F168" s="44"/>
      <c r="G168" s="44"/>
      <c r="H168" s="25" t="s">
        <v>95</v>
      </c>
      <c r="I168" s="25" t="s">
        <v>96</v>
      </c>
      <c r="J168" s="25" t="s">
        <v>97</v>
      </c>
      <c r="K168" s="25" t="s">
        <v>98</v>
      </c>
      <c r="L168" s="25" t="s">
        <v>99</v>
      </c>
      <c r="M168" s="25" t="s">
        <v>100</v>
      </c>
      <c r="N168" s="25" t="s">
        <v>101</v>
      </c>
      <c r="O168" s="25" t="s">
        <v>102</v>
      </c>
      <c r="P168" s="25" t="s">
        <v>103</v>
      </c>
      <c r="Q168" s="25" t="s">
        <v>104</v>
      </c>
      <c r="R168" s="25" t="s">
        <v>105</v>
      </c>
      <c r="S168" s="25" t="s">
        <v>106</v>
      </c>
      <c r="T168" s="25" t="s">
        <v>107</v>
      </c>
      <c r="U168" s="25" t="s">
        <v>108</v>
      </c>
      <c r="V168" s="25" t="s">
        <v>109</v>
      </c>
      <c r="W168" s="25" t="s">
        <v>110</v>
      </c>
      <c r="X168" s="25" t="s">
        <v>111</v>
      </c>
      <c r="Y168" s="25" t="s">
        <v>112</v>
      </c>
      <c r="Z168" s="25" t="s">
        <v>113</v>
      </c>
      <c r="AA168" s="25" t="s">
        <v>114</v>
      </c>
      <c r="AB168" s="25" t="s">
        <v>115</v>
      </c>
      <c r="AC168" s="25" t="s">
        <v>116</v>
      </c>
      <c r="AD168" s="25" t="s">
        <v>117</v>
      </c>
      <c r="AE168" s="25" t="s">
        <v>118</v>
      </c>
      <c r="AF168" s="25" t="s">
        <v>119</v>
      </c>
      <c r="AG168" s="25" t="s">
        <v>120</v>
      </c>
      <c r="AH168" s="25" t="s">
        <v>121</v>
      </c>
      <c r="AI168" s="25" t="s">
        <v>122</v>
      </c>
      <c r="AJ168" s="25" t="s">
        <v>123</v>
      </c>
      <c r="AK168" s="25" t="s">
        <v>124</v>
      </c>
      <c r="AL168" s="25" t="s">
        <v>125</v>
      </c>
    </row>
    <row r="169" ht="17.25" customHeight="1">
      <c r="A169" s="45"/>
      <c r="B169" s="46" t="s">
        <v>84</v>
      </c>
      <c r="C169" s="47">
        <f t="shared" ref="C169:E169" si="33">C28+C37+C45+C58+C68+C77+C88+C97+C107+C115+C126+C136+C146+C158</f>
        <v>24190</v>
      </c>
      <c r="D169" s="47">
        <f t="shared" si="33"/>
        <v>16816</v>
      </c>
      <c r="E169" s="47">
        <f t="shared" si="33"/>
        <v>7374</v>
      </c>
      <c r="F169" s="45"/>
      <c r="G169" s="45"/>
      <c r="H169" s="76">
        <f t="shared" ref="H169:AL169" si="34">SUM(H28:H156)</f>
        <v>9909</v>
      </c>
      <c r="I169" s="76">
        <f t="shared" si="34"/>
        <v>0</v>
      </c>
      <c r="J169" s="76">
        <f t="shared" si="34"/>
        <v>380</v>
      </c>
      <c r="K169" s="76">
        <f t="shared" si="34"/>
        <v>0</v>
      </c>
      <c r="L169" s="76">
        <f t="shared" si="34"/>
        <v>80</v>
      </c>
      <c r="M169" s="76">
        <f t="shared" si="34"/>
        <v>415</v>
      </c>
      <c r="N169" s="76">
        <f t="shared" si="34"/>
        <v>0</v>
      </c>
      <c r="O169" s="76">
        <f t="shared" si="34"/>
        <v>2100</v>
      </c>
      <c r="P169" s="76">
        <f t="shared" si="34"/>
        <v>1370</v>
      </c>
      <c r="Q169" s="76">
        <f t="shared" si="34"/>
        <v>345</v>
      </c>
      <c r="R169" s="76">
        <f t="shared" si="34"/>
        <v>0</v>
      </c>
      <c r="S169" s="76">
        <f t="shared" si="34"/>
        <v>2217</v>
      </c>
      <c r="T169" s="76">
        <f t="shared" si="34"/>
        <v>0</v>
      </c>
      <c r="U169" s="76">
        <f t="shared" si="34"/>
        <v>0</v>
      </c>
      <c r="V169" s="76">
        <f t="shared" si="34"/>
        <v>0</v>
      </c>
      <c r="W169" s="76">
        <f t="shared" si="34"/>
        <v>0</v>
      </c>
      <c r="X169" s="76">
        <f t="shared" si="34"/>
        <v>0</v>
      </c>
      <c r="Y169" s="76">
        <f t="shared" si="34"/>
        <v>0</v>
      </c>
      <c r="Z169" s="76">
        <f t="shared" si="34"/>
        <v>0</v>
      </c>
      <c r="AA169" s="76">
        <f t="shared" si="34"/>
        <v>0</v>
      </c>
      <c r="AB169" s="76">
        <f t="shared" si="34"/>
        <v>0</v>
      </c>
      <c r="AC169" s="76">
        <f t="shared" si="34"/>
        <v>0</v>
      </c>
      <c r="AD169" s="76">
        <f t="shared" si="34"/>
        <v>0</v>
      </c>
      <c r="AE169" s="76">
        <f t="shared" si="34"/>
        <v>0</v>
      </c>
      <c r="AF169" s="76">
        <f t="shared" si="34"/>
        <v>0</v>
      </c>
      <c r="AG169" s="76">
        <f t="shared" si="34"/>
        <v>0</v>
      </c>
      <c r="AH169" s="76">
        <f t="shared" si="34"/>
        <v>0</v>
      </c>
      <c r="AI169" s="76">
        <f t="shared" si="34"/>
        <v>0</v>
      </c>
      <c r="AJ169" s="76">
        <f t="shared" si="34"/>
        <v>0</v>
      </c>
      <c r="AK169" s="76">
        <f t="shared" si="34"/>
        <v>0</v>
      </c>
      <c r="AL169" s="76">
        <f t="shared" si="34"/>
        <v>0</v>
      </c>
    </row>
    <row r="170" ht="15.75" customHeight="1"/>
    <row r="171" ht="15.75" customHeight="1"/>
    <row r="172" ht="15.75" customHeight="1">
      <c r="B172" s="15"/>
    </row>
    <row r="173" ht="15.75" customHeight="1">
      <c r="B173" s="15"/>
    </row>
    <row r="174" ht="27.0" customHeight="1">
      <c r="B174" s="48"/>
      <c r="C174" s="49" t="s">
        <v>88</v>
      </c>
      <c r="D174" s="50"/>
      <c r="E174" s="50"/>
      <c r="F174" s="4"/>
    </row>
    <row r="175" ht="15.75" customHeight="1">
      <c r="B175" s="51"/>
    </row>
    <row r="176" ht="15.75" customHeight="1">
      <c r="A176" s="52"/>
      <c r="B176" s="53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ht="20.25" customHeight="1">
      <c r="A177" s="52"/>
      <c r="B177" s="54" t="s">
        <v>89</v>
      </c>
      <c r="C177" s="55" t="s">
        <v>80</v>
      </c>
      <c r="D177" s="56"/>
      <c r="E177" s="57">
        <f>C9</f>
        <v>50000</v>
      </c>
      <c r="F177" s="57"/>
      <c r="G177" s="57"/>
      <c r="H177" s="57"/>
      <c r="I177" s="57"/>
      <c r="J177" s="57"/>
      <c r="K177" s="57"/>
      <c r="L177" s="57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ht="15.75" customHeight="1">
      <c r="A178" s="52"/>
      <c r="B178" s="53"/>
      <c r="C178" s="58" t="s">
        <v>85</v>
      </c>
      <c r="E178" s="52">
        <f>C26</f>
        <v>24190</v>
      </c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ht="15.75" customHeight="1">
      <c r="A179" s="52"/>
      <c r="B179" s="53"/>
      <c r="C179" s="58"/>
      <c r="D179" s="58"/>
      <c r="E179" s="52"/>
      <c r="F179" s="52"/>
      <c r="G179" s="52" t="s">
        <v>132</v>
      </c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ht="18.75" customHeight="1">
      <c r="A180" s="52"/>
      <c r="B180" s="53"/>
      <c r="C180" s="59" t="s">
        <v>133</v>
      </c>
      <c r="D180" s="2"/>
      <c r="E180" s="60">
        <f>E177-E178</f>
        <v>25810</v>
      </c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ht="15.75" customHeight="1">
      <c r="A181" s="52"/>
      <c r="B181" s="53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ht="15.75" customHeight="1">
      <c r="A182" s="52"/>
      <c r="B182" s="53"/>
      <c r="C182" s="52"/>
      <c r="D182" s="52"/>
      <c r="E182" s="52"/>
      <c r="F182" s="52"/>
      <c r="G182" s="52"/>
      <c r="H182" s="77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ht="15.75" customHeight="1">
      <c r="A183" s="52"/>
      <c r="B183" s="53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ht="39.75" customHeight="1">
      <c r="A184" s="52"/>
      <c r="B184" s="61" t="s">
        <v>92</v>
      </c>
      <c r="C184" s="55" t="s">
        <v>93</v>
      </c>
      <c r="D184" s="56"/>
      <c r="E184" s="57">
        <f>D9</f>
        <v>25000</v>
      </c>
      <c r="F184" s="57"/>
      <c r="G184" s="57"/>
      <c r="H184" s="57"/>
      <c r="I184" s="57"/>
      <c r="J184" s="57"/>
      <c r="K184" s="57"/>
      <c r="L184" s="57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ht="15.75" customHeight="1">
      <c r="A185" s="52"/>
      <c r="B185" s="53"/>
      <c r="C185" s="58" t="s">
        <v>87</v>
      </c>
      <c r="E185" s="52">
        <f>D26</f>
        <v>16816</v>
      </c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ht="15.75" customHeight="1">
      <c r="B186" s="12"/>
    </row>
    <row r="187" ht="18.75" customHeight="1">
      <c r="B187" s="12"/>
      <c r="C187" s="62" t="s">
        <v>133</v>
      </c>
      <c r="D187" s="2"/>
      <c r="E187" s="63">
        <f>E184-E185</f>
        <v>8184</v>
      </c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9.5" customHeight="1">
      <c r="B191" s="12"/>
      <c r="C191" s="64"/>
      <c r="D191" s="65" t="str">
        <f>B28</f>
        <v>ALIMENTOS Y BEBIDAS</v>
      </c>
      <c r="E191" s="66">
        <f>D28</f>
        <v>4035</v>
      </c>
    </row>
    <row r="192" ht="19.5" customHeight="1">
      <c r="B192" s="12"/>
      <c r="C192" s="64"/>
      <c r="D192" s="65" t="str">
        <f>B37</f>
        <v>SALUD</v>
      </c>
      <c r="E192" s="66">
        <f>D37</f>
        <v>0</v>
      </c>
    </row>
    <row r="193" ht="19.5" customHeight="1">
      <c r="B193" s="12"/>
      <c r="C193" s="64"/>
      <c r="D193" s="65" t="str">
        <f>B45</f>
        <v>CASA</v>
      </c>
      <c r="E193" s="66">
        <f>D45</f>
        <v>1500</v>
      </c>
    </row>
    <row r="194" ht="19.5" customHeight="1">
      <c r="B194" s="12"/>
      <c r="C194" s="64"/>
      <c r="D194" s="65" t="str">
        <f>B58</f>
        <v>ROPA Y CALZADO</v>
      </c>
      <c r="E194" s="66">
        <f>D58</f>
        <v>0</v>
      </c>
    </row>
    <row r="195" ht="19.5" customHeight="1">
      <c r="B195" s="12"/>
      <c r="C195" s="64"/>
      <c r="D195" s="65" t="str">
        <f>B68</f>
        <v>COMUNICACIÓN</v>
      </c>
      <c r="E195" s="66">
        <f>D68</f>
        <v>6590</v>
      </c>
    </row>
    <row r="196" ht="19.5" customHeight="1">
      <c r="B196" s="12"/>
      <c r="C196" s="64"/>
      <c r="D196" s="65" t="str">
        <f>B77</f>
        <v>TRANSPORTE</v>
      </c>
      <c r="E196" s="66">
        <f>D77</f>
        <v>2122</v>
      </c>
    </row>
    <row r="197" ht="19.5" customHeight="1">
      <c r="B197" s="12"/>
      <c r="C197" s="64"/>
      <c r="D197" s="65" t="str">
        <f>B88</f>
        <v>HIGIENE</v>
      </c>
      <c r="E197" s="66">
        <f>D88</f>
        <v>1750</v>
      </c>
    </row>
    <row r="198" ht="19.5" customHeight="1">
      <c r="B198" s="12"/>
      <c r="C198" s="64"/>
      <c r="D198" s="65" t="str">
        <f>B97</f>
        <v>NIÑOS</v>
      </c>
      <c r="E198" s="66">
        <f>D97</f>
        <v>0</v>
      </c>
    </row>
    <row r="199" ht="19.5" customHeight="1">
      <c r="B199" s="12"/>
      <c r="C199" s="64"/>
      <c r="D199" s="65" t="str">
        <f>B107</f>
        <v>DESARROLLO PERSONAL</v>
      </c>
      <c r="E199" s="66">
        <f>D107</f>
        <v>0</v>
      </c>
    </row>
    <row r="200" ht="19.5" customHeight="1">
      <c r="B200" s="12"/>
      <c r="C200" s="64"/>
      <c r="D200" s="65" t="str">
        <f>B115</f>
        <v>DIVERSIÓN</v>
      </c>
      <c r="E200" s="66">
        <f>D115</f>
        <v>819</v>
      </c>
    </row>
    <row r="201" ht="19.5" customHeight="1">
      <c r="B201" s="12"/>
      <c r="C201" s="64"/>
      <c r="D201" s="65" t="str">
        <f>B126</f>
        <v>DEUDAS</v>
      </c>
      <c r="E201" s="66">
        <f>D126</f>
        <v>0</v>
      </c>
    </row>
    <row r="202" ht="19.5" customHeight="1">
      <c r="B202" s="12"/>
      <c r="C202" s="64"/>
      <c r="D202" s="65" t="str">
        <f>B136</f>
        <v>OTROS GASTOS</v>
      </c>
      <c r="E202" s="66">
        <f>D136</f>
        <v>0</v>
      </c>
    </row>
    <row r="203" ht="19.5" customHeight="1">
      <c r="B203" s="12"/>
      <c r="D203" s="65" t="str">
        <f>B146</f>
        <v>AHORROS</v>
      </c>
      <c r="E203" s="66">
        <f>D146</f>
        <v>0</v>
      </c>
    </row>
    <row r="204" ht="19.5" customHeight="1">
      <c r="B204" s="12"/>
      <c r="D204" s="65" t="str">
        <f>B158</f>
        <v>OTROS</v>
      </c>
      <c r="E204" s="66">
        <f>D158</f>
        <v>0</v>
      </c>
    </row>
    <row r="205" ht="15.75" customHeight="1">
      <c r="B205" s="12"/>
    </row>
    <row r="206" ht="15.75" customHeight="1">
      <c r="B206" s="12"/>
    </row>
    <row r="207" ht="15.75" customHeight="1">
      <c r="B207" s="12"/>
    </row>
    <row r="208" ht="15.75" customHeight="1">
      <c r="B208" s="12"/>
    </row>
    <row r="209" ht="15.75" customHeight="1">
      <c r="B209" s="12"/>
    </row>
    <row r="210" ht="15.75" customHeight="1">
      <c r="B210" s="12"/>
    </row>
    <row r="211" ht="15.75" customHeight="1">
      <c r="B211" s="12"/>
    </row>
    <row r="212" ht="15.75" customHeight="1">
      <c r="B212" s="12"/>
    </row>
    <row r="213" ht="15.75" customHeight="1">
      <c r="B213" s="12"/>
    </row>
    <row r="214" ht="15.75" customHeight="1">
      <c r="B214" s="12"/>
    </row>
    <row r="215" ht="15.75" customHeight="1">
      <c r="B215" s="12"/>
    </row>
    <row r="216" ht="15.75" customHeight="1">
      <c r="B216" s="12"/>
    </row>
    <row r="217" ht="15.75" customHeight="1">
      <c r="B217" s="12"/>
    </row>
    <row r="218" ht="15.75" customHeight="1">
      <c r="B218" s="12"/>
    </row>
    <row r="219" ht="15.75" customHeight="1">
      <c r="B219" s="12"/>
    </row>
    <row r="220" ht="15.75" customHeight="1">
      <c r="B220" s="12"/>
    </row>
    <row r="221" ht="15.75" customHeight="1">
      <c r="B221" s="12"/>
    </row>
    <row r="222" ht="15.75" customHeight="1">
      <c r="B222" s="12"/>
    </row>
    <row r="223" ht="15.75" customHeight="1">
      <c r="B223" s="12"/>
    </row>
    <row r="224" ht="15.75" customHeight="1">
      <c r="B224" s="12"/>
    </row>
    <row r="225" ht="15.75" customHeight="1">
      <c r="B225" s="12"/>
    </row>
    <row r="226" ht="15.75" customHeight="1">
      <c r="B226" s="12"/>
    </row>
    <row r="227" ht="15.75" customHeight="1">
      <c r="B227" s="12"/>
    </row>
    <row r="228" ht="15.75" customHeight="1">
      <c r="B228" s="12"/>
    </row>
    <row r="229" ht="15.75" customHeight="1">
      <c r="B229" s="12"/>
    </row>
    <row r="230" ht="15.75" customHeight="1">
      <c r="B230" s="12"/>
    </row>
    <row r="231" ht="15.75" customHeight="1">
      <c r="B231" s="12"/>
    </row>
    <row r="232" ht="15.75" customHeight="1">
      <c r="B232" s="12"/>
    </row>
    <row r="233" ht="15.75" customHeight="1">
      <c r="B233" s="12"/>
    </row>
    <row r="234" ht="15.75" customHeight="1">
      <c r="B234" s="12"/>
    </row>
    <row r="235" ht="15.75" customHeight="1">
      <c r="B235" s="12"/>
    </row>
    <row r="236" ht="15.75" customHeight="1">
      <c r="B236" s="12"/>
    </row>
    <row r="237" ht="15.75" customHeight="1">
      <c r="B237" s="12"/>
    </row>
    <row r="238" ht="15.75" customHeight="1">
      <c r="B238" s="12"/>
    </row>
    <row r="239" ht="15.75" customHeight="1">
      <c r="B239" s="12"/>
    </row>
    <row r="240" ht="15.75" customHeight="1">
      <c r="B240" s="12"/>
    </row>
    <row r="241" ht="15.75" customHeight="1">
      <c r="B241" s="12"/>
    </row>
    <row r="242" ht="15.75" customHeight="1">
      <c r="B242" s="12"/>
    </row>
    <row r="243" ht="15.75" customHeight="1">
      <c r="B243" s="12"/>
    </row>
    <row r="244" ht="15.75" customHeight="1">
      <c r="B244" s="12"/>
    </row>
    <row r="245" ht="15.75" customHeight="1">
      <c r="B245" s="12"/>
    </row>
    <row r="246" ht="15.75" customHeight="1">
      <c r="B246" s="12"/>
    </row>
    <row r="247" ht="15.75" customHeight="1">
      <c r="B247" s="12"/>
    </row>
    <row r="248" ht="15.75" customHeight="1">
      <c r="B248" s="12"/>
    </row>
    <row r="249" ht="15.75" customHeight="1">
      <c r="B249" s="12"/>
    </row>
    <row r="250" ht="15.75" customHeight="1">
      <c r="B250" s="12"/>
    </row>
    <row r="251" ht="15.75" customHeight="1">
      <c r="B251" s="12"/>
    </row>
    <row r="252" ht="15.75" customHeight="1">
      <c r="B252" s="12"/>
    </row>
    <row r="253" ht="15.75" customHeight="1">
      <c r="B253" s="12"/>
    </row>
    <row r="254" ht="15.75" customHeight="1">
      <c r="B254" s="12"/>
    </row>
    <row r="255" ht="15.75" customHeight="1">
      <c r="B255" s="12"/>
    </row>
    <row r="256" ht="15.75" customHeight="1">
      <c r="B256" s="12"/>
    </row>
    <row r="257" ht="15.75" customHeight="1">
      <c r="B257" s="12"/>
    </row>
    <row r="258" ht="15.75" customHeight="1">
      <c r="B258" s="12"/>
    </row>
    <row r="259" ht="15.75" customHeight="1">
      <c r="B259" s="12"/>
    </row>
    <row r="260" ht="15.75" customHeight="1">
      <c r="B260" s="12"/>
    </row>
    <row r="261" ht="15.75" customHeight="1">
      <c r="B261" s="12"/>
    </row>
    <row r="262" ht="15.75" customHeight="1">
      <c r="B262" s="12"/>
    </row>
    <row r="263" ht="15.75" customHeight="1">
      <c r="B263" s="12"/>
    </row>
    <row r="264" ht="15.75" customHeight="1">
      <c r="B264" s="12"/>
    </row>
    <row r="265" ht="15.75" customHeight="1">
      <c r="B265" s="12"/>
    </row>
    <row r="266" ht="15.75" customHeight="1">
      <c r="B266" s="12"/>
    </row>
    <row r="267" ht="15.75" customHeight="1">
      <c r="B267" s="12"/>
    </row>
    <row r="268" ht="15.75" customHeight="1">
      <c r="B268" s="12"/>
    </row>
    <row r="269" ht="15.75" customHeight="1">
      <c r="B269" s="12"/>
    </row>
    <row r="270" ht="15.75" customHeight="1">
      <c r="B270" s="12"/>
    </row>
    <row r="271" ht="15.75" customHeight="1">
      <c r="B271" s="12"/>
    </row>
    <row r="272" ht="15.75" customHeight="1">
      <c r="B272" s="12"/>
    </row>
    <row r="273" ht="15.75" customHeight="1">
      <c r="B273" s="12"/>
    </row>
    <row r="274" ht="15.75" customHeight="1">
      <c r="B274" s="12"/>
    </row>
    <row r="275" ht="15.75" customHeight="1">
      <c r="B275" s="12"/>
    </row>
    <row r="276" ht="15.75" customHeight="1">
      <c r="B276" s="12"/>
    </row>
    <row r="277" ht="15.75" customHeight="1">
      <c r="B277" s="12"/>
    </row>
    <row r="278" ht="15.75" customHeight="1">
      <c r="B278" s="12"/>
    </row>
    <row r="279" ht="15.75" customHeight="1">
      <c r="B279" s="12"/>
    </row>
    <row r="280" ht="15.75" customHeight="1">
      <c r="B280" s="12"/>
    </row>
    <row r="281" ht="15.75" customHeight="1">
      <c r="B281" s="12"/>
    </row>
    <row r="282" ht="15.75" customHeight="1">
      <c r="B282" s="12"/>
    </row>
    <row r="283" ht="15.75" customHeight="1">
      <c r="B283" s="12"/>
    </row>
    <row r="284" ht="15.75" customHeight="1">
      <c r="B284" s="12"/>
    </row>
    <row r="285" ht="15.75" customHeight="1">
      <c r="B285" s="12"/>
    </row>
    <row r="286" ht="15.75" customHeight="1">
      <c r="B286" s="12"/>
    </row>
    <row r="287" ht="15.75" customHeight="1">
      <c r="B287" s="12"/>
    </row>
    <row r="288" ht="15.75" customHeight="1">
      <c r="B288" s="12"/>
    </row>
    <row r="289" ht="15.75" customHeight="1">
      <c r="B289" s="12"/>
    </row>
    <row r="290" ht="15.75" customHeight="1">
      <c r="B290" s="12"/>
    </row>
    <row r="291" ht="15.75" customHeight="1">
      <c r="B291" s="12"/>
    </row>
    <row r="292" ht="15.75" customHeight="1">
      <c r="B292" s="12"/>
    </row>
    <row r="293" ht="15.75" customHeight="1">
      <c r="B293" s="12"/>
    </row>
    <row r="294" ht="15.75" customHeight="1">
      <c r="B294" s="12"/>
    </row>
    <row r="295" ht="15.75" customHeight="1">
      <c r="B295" s="12"/>
    </row>
    <row r="296" ht="15.75" customHeight="1">
      <c r="B296" s="12"/>
    </row>
    <row r="297" ht="15.75" customHeight="1">
      <c r="B297" s="12"/>
    </row>
    <row r="298" ht="15.75" customHeight="1">
      <c r="B298" s="12"/>
    </row>
    <row r="299" ht="15.75" customHeight="1">
      <c r="B299" s="12"/>
    </row>
    <row r="300" ht="15.75" customHeight="1">
      <c r="B300" s="12"/>
    </row>
    <row r="301" ht="15.75" customHeight="1">
      <c r="B301" s="12"/>
    </row>
    <row r="302" ht="15.75" customHeight="1">
      <c r="B302" s="12"/>
    </row>
    <row r="303" ht="15.75" customHeight="1">
      <c r="B303" s="12"/>
    </row>
    <row r="304" ht="15.75" customHeight="1">
      <c r="B304" s="12"/>
    </row>
    <row r="305" ht="15.75" customHeight="1">
      <c r="B305" s="12"/>
    </row>
    <row r="306" ht="15.75" customHeight="1">
      <c r="B306" s="12"/>
    </row>
    <row r="307" ht="15.75" customHeight="1">
      <c r="B307" s="12"/>
    </row>
    <row r="308" ht="15.75" customHeight="1">
      <c r="B308" s="12"/>
    </row>
    <row r="309" ht="15.75" customHeight="1">
      <c r="B309" s="12"/>
    </row>
    <row r="310" ht="15.75" customHeight="1">
      <c r="B310" s="12"/>
    </row>
    <row r="311" ht="15.75" customHeight="1">
      <c r="B311" s="12"/>
    </row>
    <row r="312" ht="15.75" customHeight="1">
      <c r="B312" s="12"/>
    </row>
    <row r="313" ht="15.75" customHeight="1">
      <c r="B313" s="12"/>
    </row>
    <row r="314" ht="15.75" customHeight="1">
      <c r="B314" s="12"/>
    </row>
    <row r="315" ht="15.75" customHeight="1">
      <c r="B315" s="12"/>
    </row>
    <row r="316" ht="15.75" customHeight="1">
      <c r="B316" s="12"/>
    </row>
    <row r="317" ht="15.75" customHeight="1">
      <c r="B317" s="12"/>
    </row>
    <row r="318" ht="15.75" customHeight="1">
      <c r="B318" s="12"/>
    </row>
    <row r="319" ht="15.75" customHeight="1">
      <c r="B319" s="12"/>
    </row>
    <row r="320" ht="15.75" customHeight="1">
      <c r="B320" s="12"/>
    </row>
    <row r="321" ht="15.75" customHeight="1">
      <c r="B321" s="12"/>
    </row>
    <row r="322" ht="15.75" customHeight="1">
      <c r="B322" s="12"/>
    </row>
    <row r="323" ht="15.75" customHeight="1">
      <c r="B323" s="12"/>
    </row>
    <row r="324" ht="15.75" customHeight="1">
      <c r="B324" s="12"/>
    </row>
    <row r="325" ht="15.75" customHeight="1">
      <c r="B325" s="12"/>
    </row>
    <row r="326" ht="15.75" customHeight="1">
      <c r="B326" s="12"/>
    </row>
    <row r="327" ht="15.75" customHeight="1">
      <c r="B327" s="12"/>
    </row>
    <row r="328" ht="15.75" customHeight="1">
      <c r="B328" s="12"/>
    </row>
    <row r="329" ht="15.75" customHeight="1">
      <c r="B329" s="12"/>
    </row>
    <row r="330" ht="15.75" customHeight="1">
      <c r="B330" s="12"/>
    </row>
    <row r="331" ht="15.75" customHeight="1">
      <c r="B331" s="12"/>
    </row>
    <row r="332" ht="15.75" customHeight="1">
      <c r="B332" s="12"/>
    </row>
    <row r="333" ht="15.75" customHeight="1">
      <c r="B333" s="12"/>
    </row>
    <row r="334" ht="15.75" customHeight="1">
      <c r="B334" s="12"/>
    </row>
    <row r="335" ht="15.75" customHeight="1">
      <c r="B335" s="12"/>
    </row>
    <row r="336" ht="15.75" customHeight="1">
      <c r="B336" s="12"/>
    </row>
    <row r="337" ht="15.75" customHeight="1">
      <c r="B337" s="12"/>
    </row>
    <row r="338" ht="15.75" customHeight="1">
      <c r="B338" s="12"/>
    </row>
    <row r="339" ht="15.75" customHeight="1">
      <c r="B339" s="12"/>
    </row>
    <row r="340" ht="15.75" customHeight="1">
      <c r="B340" s="12"/>
    </row>
    <row r="341" ht="15.75" customHeight="1">
      <c r="B341" s="12"/>
    </row>
    <row r="342" ht="15.75" customHeight="1">
      <c r="B342" s="12"/>
    </row>
    <row r="343" ht="15.75" customHeight="1">
      <c r="B343" s="12"/>
    </row>
    <row r="344" ht="15.75" customHeight="1">
      <c r="B344" s="12"/>
    </row>
    <row r="345" ht="15.75" customHeight="1">
      <c r="B345" s="12"/>
    </row>
    <row r="346" ht="15.75" customHeight="1">
      <c r="B346" s="12"/>
    </row>
    <row r="347" ht="15.75" customHeight="1">
      <c r="B347" s="12"/>
    </row>
    <row r="348" ht="15.75" customHeight="1">
      <c r="B348" s="12"/>
    </row>
    <row r="349" ht="15.75" customHeight="1">
      <c r="B349" s="12"/>
    </row>
    <row r="350" ht="15.75" customHeight="1">
      <c r="B350" s="12"/>
    </row>
    <row r="351" ht="15.75" customHeight="1">
      <c r="B351" s="12"/>
    </row>
    <row r="352" ht="15.75" customHeight="1">
      <c r="B352" s="12"/>
    </row>
    <row r="353" ht="15.75" customHeight="1">
      <c r="B353" s="12"/>
    </row>
    <row r="354" ht="15.75" customHeight="1">
      <c r="B354" s="12"/>
    </row>
    <row r="355" ht="15.75" customHeight="1">
      <c r="B355" s="12"/>
    </row>
    <row r="356" ht="15.75" customHeight="1">
      <c r="B356" s="12"/>
    </row>
    <row r="357" ht="15.75" customHeight="1">
      <c r="B357" s="12"/>
    </row>
    <row r="358" ht="15.75" customHeight="1">
      <c r="B358" s="12"/>
    </row>
    <row r="359" ht="15.75" customHeight="1">
      <c r="B359" s="12"/>
    </row>
    <row r="360" ht="15.75" customHeight="1">
      <c r="B360" s="12"/>
    </row>
    <row r="361" ht="15.75" customHeight="1">
      <c r="B361" s="12"/>
    </row>
    <row r="362" ht="15.75" customHeight="1">
      <c r="B362" s="12"/>
    </row>
    <row r="363" ht="15.75" customHeight="1">
      <c r="B363" s="12"/>
    </row>
    <row r="364" ht="15.75" customHeight="1">
      <c r="B364" s="12"/>
    </row>
    <row r="365" ht="15.75" customHeight="1">
      <c r="B365" s="12"/>
    </row>
    <row r="366" ht="15.75" customHeight="1">
      <c r="B366" s="12"/>
    </row>
    <row r="367" ht="15.75" customHeight="1">
      <c r="B367" s="12"/>
    </row>
    <row r="368" ht="15.75" customHeight="1">
      <c r="B368" s="12"/>
    </row>
    <row r="369" ht="15.75" customHeight="1">
      <c r="B369" s="12"/>
    </row>
    <row r="370" ht="15.75" customHeight="1">
      <c r="B370" s="12"/>
    </row>
    <row r="371" ht="15.75" customHeight="1">
      <c r="B371" s="12"/>
    </row>
    <row r="372" ht="15.75" customHeight="1">
      <c r="B372" s="12"/>
    </row>
    <row r="373" ht="15.75" customHeight="1">
      <c r="B373" s="12"/>
    </row>
    <row r="374" ht="15.75" customHeight="1">
      <c r="B374" s="12"/>
    </row>
    <row r="375" ht="15.75" customHeight="1">
      <c r="B375" s="12"/>
    </row>
    <row r="376" ht="15.75" customHeight="1">
      <c r="B376" s="12"/>
    </row>
    <row r="377" ht="15.75" customHeight="1">
      <c r="B377" s="12"/>
    </row>
    <row r="378" ht="15.75" customHeight="1">
      <c r="B378" s="12"/>
    </row>
    <row r="379" ht="15.75" customHeight="1">
      <c r="B379" s="12"/>
    </row>
    <row r="380" ht="15.75" customHeight="1">
      <c r="B380" s="12"/>
    </row>
    <row r="381" ht="15.75" customHeight="1">
      <c r="B381" s="12"/>
    </row>
    <row r="382" ht="15.75" customHeight="1">
      <c r="B382" s="12"/>
    </row>
    <row r="383" ht="15.75" customHeight="1">
      <c r="B383" s="12"/>
    </row>
    <row r="384" ht="15.75" customHeight="1">
      <c r="B384" s="12"/>
    </row>
    <row r="385" ht="15.75" customHeight="1">
      <c r="B385" s="12"/>
    </row>
    <row r="386" ht="15.75" customHeight="1">
      <c r="B386" s="12"/>
    </row>
    <row r="387" ht="15.75" customHeight="1">
      <c r="B387" s="12"/>
    </row>
    <row r="388" ht="15.75" customHeight="1">
      <c r="B388" s="12"/>
    </row>
    <row r="389" ht="15.75" customHeight="1">
      <c r="B389" s="12"/>
    </row>
    <row r="390" ht="15.75" customHeight="1">
      <c r="B390" s="12"/>
    </row>
    <row r="391" ht="15.75" customHeight="1">
      <c r="B391" s="12"/>
    </row>
    <row r="392" ht="15.75" customHeight="1">
      <c r="B392" s="12"/>
    </row>
    <row r="393" ht="15.75" customHeight="1">
      <c r="B393" s="12"/>
    </row>
    <row r="394" ht="15.75" customHeight="1">
      <c r="B394" s="12"/>
    </row>
    <row r="395" ht="15.75" customHeight="1">
      <c r="B395" s="12"/>
    </row>
    <row r="396" ht="15.75" customHeight="1">
      <c r="B396" s="12"/>
    </row>
    <row r="397" ht="15.75" customHeight="1">
      <c r="B397" s="12"/>
    </row>
    <row r="398" ht="15.75" customHeight="1">
      <c r="B398" s="12"/>
    </row>
    <row r="399" ht="15.75" customHeight="1">
      <c r="B399" s="12"/>
    </row>
    <row r="400" ht="15.75" customHeight="1">
      <c r="B400" s="12"/>
    </row>
    <row r="401" ht="15.75" customHeight="1">
      <c r="B401" s="12"/>
    </row>
    <row r="402" ht="15.75" customHeight="1">
      <c r="B402" s="12"/>
    </row>
    <row r="403" ht="15.75" customHeight="1">
      <c r="B403" s="12"/>
    </row>
    <row r="404" ht="15.75" customHeight="1">
      <c r="B404" s="12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77:D177"/>
    <mergeCell ref="C178:D178"/>
    <mergeCell ref="C180:D180"/>
    <mergeCell ref="C184:D184"/>
    <mergeCell ref="C185:D185"/>
    <mergeCell ref="C187:D187"/>
    <mergeCell ref="C2:D2"/>
    <mergeCell ref="C4:F4"/>
    <mergeCell ref="D5:F5"/>
    <mergeCell ref="F8:F9"/>
    <mergeCell ref="H23:K23"/>
    <mergeCell ref="F25:F26"/>
    <mergeCell ref="C174:F174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2021-04-13T08:42:33Z</dcterms:created>
  <dc:creator>Carlos Cortes</dc:creator>
</cp:coreProperties>
</file>